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coronado.SAYDEXLTDA\Documents\trabajo de proyecto titulo\"/>
    </mc:Choice>
  </mc:AlternateContent>
  <bookViews>
    <workbookView xWindow="0" yWindow="0" windowWidth="23040" windowHeight="9120"/>
  </bookViews>
  <sheets>
    <sheet name="SPRINT 0" sheetId="1" r:id="rId1"/>
    <sheet name="SPRINT N° 1" sheetId="6" r:id="rId2"/>
    <sheet name="SPRINT N° 2" sheetId="3" r:id="rId3"/>
    <sheet name="SPRINT N° 3" sheetId="7" r:id="rId4"/>
    <sheet name="SPRINT N° 4" sheetId="8" r:id="rId5"/>
    <sheet name="SPRINT N° 5" sheetId="9" r:id="rId6"/>
    <sheet name="RIESGOS" sheetId="4" r:id="rId7"/>
    <sheet name="DATOS" sheetId="2" r:id="rId8"/>
    <sheet name="DATOS RIESGOS" sheetId="5" state="hidden" r:id="rId9"/>
  </sheets>
  <definedNames>
    <definedName name="_xlnm.Print_Area" localSheetId="6">RIESGOS!$A$1:$I$50</definedName>
    <definedName name="_xlnm.Print_Area" localSheetId="0">'SPRINT 0'!$A$1:$P$64</definedName>
    <definedName name="_xlnm.Print_Area" localSheetId="1">'SPRINT N° 1'!$A$1:$R$48</definedName>
    <definedName name="_xlnm.Print_Area" localSheetId="2">'SPRINT N° 2'!$A$1:$R$48</definedName>
    <definedName name="_xlnm.Print_Area" localSheetId="3">'SPRINT N° 3'!$A$1:$R$48</definedName>
    <definedName name="_xlnm.Print_Area" localSheetId="4">'SPRINT N° 4'!$A$1:$R$48</definedName>
    <definedName name="_xlnm.Print_Area" localSheetId="5">'SPRINT N° 5'!$A$1:$R$48</definedName>
  </definedNames>
  <calcPr calcId="152511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9" i="1" l="1"/>
  <c r="H39" i="9" l="1"/>
  <c r="G39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H39" i="8"/>
  <c r="G39" i="8"/>
  <c r="O30" i="8"/>
  <c r="O29" i="8"/>
  <c r="O28" i="8"/>
  <c r="O27" i="8"/>
  <c r="O26" i="8"/>
  <c r="O25" i="8"/>
  <c r="O24" i="8"/>
  <c r="O23" i="8"/>
  <c r="O22" i="8"/>
  <c r="O21" i="8"/>
  <c r="O20" i="8"/>
  <c r="O19" i="8"/>
  <c r="O18" i="8"/>
  <c r="O17" i="8"/>
  <c r="H39" i="7"/>
  <c r="G39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K37" i="1"/>
  <c r="M37" i="1" s="1"/>
  <c r="K38" i="1"/>
  <c r="M38" i="1" s="1"/>
  <c r="K39" i="1"/>
  <c r="M39" i="1" s="1"/>
  <c r="K40" i="1"/>
  <c r="M40" i="1" s="1"/>
  <c r="K41" i="1"/>
  <c r="M41" i="1" s="1"/>
  <c r="K42" i="1"/>
  <c r="M42" i="1" s="1"/>
  <c r="K43" i="1"/>
  <c r="M43" i="1" s="1"/>
  <c r="K44" i="1"/>
  <c r="M44" i="1" s="1"/>
  <c r="K45" i="1"/>
  <c r="M45" i="1" s="1"/>
  <c r="N37" i="1"/>
  <c r="N38" i="1"/>
  <c r="N39" i="1"/>
  <c r="N40" i="1"/>
  <c r="N41" i="1"/>
  <c r="N42" i="1"/>
  <c r="N43" i="1"/>
  <c r="N44" i="1"/>
  <c r="D15" i="1"/>
  <c r="H39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P25" i="9"/>
  <c r="P13" i="9"/>
  <c r="P22" i="7"/>
  <c r="P22" i="6"/>
  <c r="P24" i="9"/>
  <c r="P25" i="8"/>
  <c r="P14" i="6"/>
  <c r="P24" i="8"/>
  <c r="P14" i="9"/>
  <c r="P15" i="9"/>
  <c r="P17" i="7"/>
  <c r="P26" i="6"/>
  <c r="P27" i="7"/>
  <c r="P13" i="7"/>
  <c r="P13" i="6"/>
  <c r="P21" i="8"/>
  <c r="P28" i="9"/>
  <c r="P26" i="8"/>
  <c r="P17" i="6"/>
  <c r="P26" i="7"/>
  <c r="P15" i="6"/>
  <c r="P30" i="8"/>
  <c r="P20" i="8"/>
  <c r="P21" i="6"/>
  <c r="P28" i="7"/>
  <c r="P26" i="9"/>
  <c r="P27" i="6"/>
  <c r="P16" i="9"/>
  <c r="P20" i="7"/>
  <c r="P30" i="7"/>
  <c r="P22" i="8"/>
  <c r="P21" i="7"/>
  <c r="P17" i="9"/>
  <c r="P15" i="8"/>
  <c r="P18" i="9"/>
  <c r="P23" i="9"/>
  <c r="P20" i="6"/>
  <c r="P16" i="6"/>
  <c r="P18" i="8"/>
  <c r="P17" i="8"/>
  <c r="P29" i="7"/>
  <c r="P23" i="8"/>
  <c r="P29" i="6"/>
  <c r="P27" i="9"/>
  <c r="P23" i="7"/>
  <c r="P15" i="7"/>
  <c r="P25" i="7"/>
  <c r="P19" i="7"/>
  <c r="P23" i="6"/>
  <c r="P18" i="7"/>
  <c r="P28" i="8"/>
  <c r="P19" i="9"/>
  <c r="P19" i="6"/>
  <c r="P14" i="7"/>
  <c r="P22" i="9"/>
  <c r="P20" i="9"/>
  <c r="P28" i="6"/>
  <c r="P13" i="8"/>
  <c r="P16" i="8"/>
  <c r="P29" i="8"/>
  <c r="P29" i="9"/>
  <c r="P27" i="8"/>
  <c r="P30" i="6"/>
  <c r="P19" i="8"/>
  <c r="P14" i="8"/>
  <c r="P16" i="7"/>
  <c r="P21" i="9"/>
  <c r="P24" i="7"/>
  <c r="P18" i="6"/>
  <c r="P30" i="9"/>
  <c r="P25" i="6"/>
  <c r="P24" i="6"/>
  <c r="Q21" i="9" l="1"/>
  <c r="Q29" i="9"/>
  <c r="Q24" i="9"/>
  <c r="Q17" i="9"/>
  <c r="Q19" i="9"/>
  <c r="Q27" i="9"/>
  <c r="Q18" i="9"/>
  <c r="Q20" i="9"/>
  <c r="Q22" i="9"/>
  <c r="Q30" i="9"/>
  <c r="Q25" i="9"/>
  <c r="Q26" i="9"/>
  <c r="Q28" i="9"/>
  <c r="Q23" i="9"/>
  <c r="Q19" i="8"/>
  <c r="Q27" i="8"/>
  <c r="Q22" i="8"/>
  <c r="Q30" i="8"/>
  <c r="Q23" i="8"/>
  <c r="Q18" i="8"/>
  <c r="Q26" i="8"/>
  <c r="Q24" i="8"/>
  <c r="Q17" i="8"/>
  <c r="Q25" i="8"/>
  <c r="Q20" i="8"/>
  <c r="Q28" i="8"/>
  <c r="Q21" i="8"/>
  <c r="Q29" i="8"/>
  <c r="Q23" i="7"/>
  <c r="Q20" i="7"/>
  <c r="Q28" i="7"/>
  <c r="Q25" i="7"/>
  <c r="Q18" i="7"/>
  <c r="Q26" i="7"/>
  <c r="Q27" i="7"/>
  <c r="Q19" i="7"/>
  <c r="Q29" i="7"/>
  <c r="Q22" i="7"/>
  <c r="Q30" i="7"/>
  <c r="Q17" i="7"/>
  <c r="Q21" i="7"/>
  <c r="Q24" i="7"/>
  <c r="Q18" i="6"/>
  <c r="Q26" i="6"/>
  <c r="Q19" i="6"/>
  <c r="Q27" i="6"/>
  <c r="Q23" i="6"/>
  <c r="Q17" i="6"/>
  <c r="Q25" i="6"/>
  <c r="Q24" i="6"/>
  <c r="Q29" i="6"/>
  <c r="Q20" i="6"/>
  <c r="Q28" i="6"/>
  <c r="Q21" i="6"/>
  <c r="Q22" i="6"/>
  <c r="Q30" i="6"/>
  <c r="N27" i="1"/>
  <c r="N28" i="1"/>
  <c r="N29" i="1"/>
  <c r="N30" i="1"/>
  <c r="N31" i="1"/>
  <c r="N32" i="1"/>
  <c r="N33" i="1"/>
  <c r="N34" i="1"/>
  <c r="N35" i="1"/>
  <c r="N36" i="1"/>
  <c r="N45" i="1"/>
  <c r="G39" i="3"/>
  <c r="F40" i="4"/>
  <c r="I60" i="1"/>
  <c r="I61" i="1"/>
  <c r="I62" i="1"/>
  <c r="I59" i="1"/>
  <c r="O17" i="3" l="1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P17" i="3"/>
  <c r="P26" i="3"/>
  <c r="P29" i="3"/>
  <c r="P28" i="3"/>
  <c r="P18" i="3"/>
  <c r="P27" i="3"/>
  <c r="P21" i="3"/>
  <c r="P22" i="3"/>
  <c r="P15" i="3"/>
  <c r="P24" i="3"/>
  <c r="P25" i="3"/>
  <c r="P23" i="3"/>
  <c r="P13" i="3"/>
  <c r="P14" i="3"/>
  <c r="P16" i="3"/>
  <c r="P30" i="3"/>
  <c r="P20" i="3"/>
  <c r="P19" i="3"/>
  <c r="Q23" i="3" l="1"/>
  <c r="Q19" i="3"/>
  <c r="Q30" i="3"/>
  <c r="Q26" i="3"/>
  <c r="Q22" i="3"/>
  <c r="Q18" i="3"/>
  <c r="Q25" i="3"/>
  <c r="Q21" i="3"/>
  <c r="Q27" i="3"/>
  <c r="Q29" i="3"/>
  <c r="Q28" i="3"/>
  <c r="Q24" i="3"/>
  <c r="Q20" i="3"/>
  <c r="Q17" i="3"/>
  <c r="L54" i="1"/>
  <c r="L51" i="1"/>
  <c r="L52" i="1"/>
  <c r="L53" i="1"/>
  <c r="L50" i="1"/>
  <c r="K27" i="1" l="1"/>
  <c r="K28" i="1"/>
  <c r="K30" i="1"/>
  <c r="K31" i="1"/>
  <c r="K32" i="1"/>
  <c r="K33" i="1"/>
  <c r="K34" i="1"/>
  <c r="K35" i="1"/>
  <c r="K36" i="1"/>
  <c r="H39" i="3"/>
  <c r="M34" i="1" l="1"/>
  <c r="G20" i="6"/>
  <c r="M30" i="1"/>
  <c r="G16" i="6"/>
  <c r="O16" i="9"/>
  <c r="Q16" i="9" s="1"/>
  <c r="O16" i="8"/>
  <c r="Q16" i="8" s="1"/>
  <c r="O16" i="7"/>
  <c r="Q16" i="7" s="1"/>
  <c r="O16" i="6"/>
  <c r="Q16" i="6" s="1"/>
  <c r="O16" i="3"/>
  <c r="Q16" i="3" s="1"/>
  <c r="G15" i="6"/>
  <c r="O15" i="6"/>
  <c r="Q15" i="6" s="1"/>
  <c r="O15" i="9"/>
  <c r="Q15" i="9" s="1"/>
  <c r="O15" i="8"/>
  <c r="Q15" i="8" s="1"/>
  <c r="O15" i="7"/>
  <c r="Q15" i="7" s="1"/>
  <c r="M36" i="1"/>
  <c r="G22" i="6"/>
  <c r="M32" i="1"/>
  <c r="G18" i="6"/>
  <c r="G14" i="6"/>
  <c r="O14" i="9"/>
  <c r="Q14" i="9" s="1"/>
  <c r="O14" i="8"/>
  <c r="Q14" i="8" s="1"/>
  <c r="O14" i="7"/>
  <c r="Q14" i="7" s="1"/>
  <c r="O14" i="6"/>
  <c r="Q14" i="6" s="1"/>
  <c r="M33" i="1"/>
  <c r="G19" i="6"/>
  <c r="M35" i="1"/>
  <c r="G21" i="6"/>
  <c r="M31" i="1"/>
  <c r="G17" i="6"/>
  <c r="O13" i="3"/>
  <c r="G13" i="6"/>
  <c r="O13" i="6"/>
  <c r="Q13" i="6" s="1"/>
  <c r="O13" i="8"/>
  <c r="Q13" i="8" s="1"/>
  <c r="O13" i="7"/>
  <c r="Q13" i="7" s="1"/>
  <c r="O13" i="9"/>
  <c r="Q13" i="9" s="1"/>
  <c r="M29" i="1"/>
  <c r="O15" i="3"/>
  <c r="M28" i="1"/>
  <c r="O14" i="3"/>
  <c r="M27" i="1"/>
  <c r="Q31" i="8" l="1"/>
  <c r="D9" i="8" s="1"/>
  <c r="Q31" i="6"/>
  <c r="D9" i="6" s="1"/>
  <c r="Q31" i="9"/>
  <c r="D9" i="9" s="1"/>
  <c r="Q31" i="7"/>
  <c r="D9" i="7" s="1"/>
  <c r="G39" i="6"/>
  <c r="M46" i="1"/>
  <c r="K22" i="1"/>
  <c r="L46" i="1"/>
  <c r="K46" i="1" l="1"/>
  <c r="D17" i="1" s="1"/>
  <c r="O55" i="1" l="1"/>
  <c r="F41" i="4" l="1"/>
  <c r="F42" i="4"/>
  <c r="F44" i="4"/>
  <c r="F45" i="4"/>
  <c r="F46" i="4"/>
  <c r="F43" i="4"/>
  <c r="F47" i="4"/>
  <c r="F48" i="4"/>
  <c r="F49" i="4"/>
  <c r="D40" i="5"/>
  <c r="J46" i="1" l="1"/>
  <c r="I46" i="1"/>
  <c r="D16" i="1" s="1"/>
  <c r="L55" i="1" l="1"/>
  <c r="D19" i="1" s="1"/>
  <c r="Q15" i="3" l="1"/>
  <c r="Q14" i="3"/>
  <c r="Q13" i="3"/>
  <c r="Q31" i="3" l="1"/>
  <c r="D9" i="3" s="1"/>
  <c r="D22" i="1" l="1"/>
  <c r="N46" i="1"/>
  <c r="G19" i="1" l="1"/>
  <c r="G22" i="1"/>
</calcChain>
</file>

<file path=xl/sharedStrings.xml><?xml version="1.0" encoding="utf-8"?>
<sst xmlns="http://schemas.openxmlformats.org/spreadsheetml/2006/main" count="553" uniqueCount="238">
  <si>
    <t>TAMAÑO</t>
  </si>
  <si>
    <t>COMPLEJIDAD</t>
  </si>
  <si>
    <t>N°</t>
  </si>
  <si>
    <t xml:space="preserve">COMPLEJIDAD </t>
  </si>
  <si>
    <t>Muy Complejo</t>
  </si>
  <si>
    <t>Complejo</t>
  </si>
  <si>
    <t>Medio</t>
  </si>
  <si>
    <t>Simple</t>
  </si>
  <si>
    <t>Muy Simple</t>
  </si>
  <si>
    <t>ESFUERZO</t>
  </si>
  <si>
    <t>PLAZO</t>
  </si>
  <si>
    <t>COSTO</t>
  </si>
  <si>
    <t>PRESUPUESTO</t>
  </si>
  <si>
    <t>RIESGOS</t>
  </si>
  <si>
    <t>Punto de Historia</t>
  </si>
  <si>
    <t>Proyecto</t>
  </si>
  <si>
    <t>1 Día</t>
  </si>
  <si>
    <t>1 Semana</t>
  </si>
  <si>
    <t>Mantención</t>
  </si>
  <si>
    <t>1 Hora</t>
  </si>
  <si>
    <t>ROL</t>
  </si>
  <si>
    <t>COSTO TOTAL</t>
  </si>
  <si>
    <t>Desarrollador</t>
  </si>
  <si>
    <t>Analista</t>
  </si>
  <si>
    <t xml:space="preserve">Scrum Master </t>
  </si>
  <si>
    <t>Product Owner</t>
  </si>
  <si>
    <t>Uni. Monetaria</t>
  </si>
  <si>
    <t>Peso</t>
  </si>
  <si>
    <t>Dólar (USD)</t>
  </si>
  <si>
    <t>U.F.</t>
  </si>
  <si>
    <t>Peso Chileno (CLP$)</t>
  </si>
  <si>
    <t>hrs</t>
  </si>
  <si>
    <t>Pto. De Historia</t>
  </si>
  <si>
    <t>Equivalencia</t>
  </si>
  <si>
    <t>VALOR PROMEDIO HH/UF</t>
  </si>
  <si>
    <t>E1</t>
  </si>
  <si>
    <t>E2</t>
  </si>
  <si>
    <t>E3</t>
  </si>
  <si>
    <t>E4</t>
  </si>
  <si>
    <t>E5</t>
  </si>
  <si>
    <t>Etiquetas de fila</t>
  </si>
  <si>
    <t>Total general</t>
  </si>
  <si>
    <t>U.F. Hoy</t>
  </si>
  <si>
    <t>CANTIDAD DE SPRINT</t>
  </si>
  <si>
    <t>DURACIÓN DE SPRINT (DÍAS)</t>
  </si>
  <si>
    <t>N° REQM</t>
  </si>
  <si>
    <t>DESCRIPCIÓN</t>
  </si>
  <si>
    <t>N° TAREA</t>
  </si>
  <si>
    <t>ESTIMACIÓN</t>
  </si>
  <si>
    <t>Cuenta de N° TAREA</t>
  </si>
  <si>
    <t>Retorno HH Total</t>
  </si>
  <si>
    <t>Dato de Tabla</t>
  </si>
  <si>
    <t>Determina Error</t>
  </si>
  <si>
    <t>ACCIÓN DE MITIGACIÓN</t>
  </si>
  <si>
    <t>DESCRIPCIÓN DEL RIESGO</t>
  </si>
  <si>
    <t>RESPONSABLE (CARGO / ÁREA)</t>
  </si>
  <si>
    <t>PROBABILIDAD</t>
  </si>
  <si>
    <t>IMPACTO</t>
  </si>
  <si>
    <t>VALOR NUMÉRICO</t>
  </si>
  <si>
    <t>TIPO RIESGO</t>
  </si>
  <si>
    <t>Bajo</t>
  </si>
  <si>
    <t>Scrum Master / Gerencia TI</t>
  </si>
  <si>
    <t>Crítico</t>
  </si>
  <si>
    <t>Moderado</t>
  </si>
  <si>
    <t>Insignificante</t>
  </si>
  <si>
    <t>Catastrófico</t>
  </si>
  <si>
    <t>Probable</t>
  </si>
  <si>
    <t>Improbable</t>
  </si>
  <si>
    <t>PROB. x IMP.</t>
  </si>
  <si>
    <t>TIPO DE   RIESGO</t>
  </si>
  <si>
    <t>&gt;10</t>
  </si>
  <si>
    <t>Incumplimiento del Proveedor</t>
  </si>
  <si>
    <t>Formalización de la solicitud; Evaluación del impacto; Reprogramación del proyecto / mantención.</t>
  </si>
  <si>
    <t>Evaluar necesidades; Evaluar impactos contractuales; Tomar acciones correctivas.</t>
  </si>
  <si>
    <t>Formalización de la solicitud; Evaluación del impacto; Reprogramación del proyecto/mantención.</t>
  </si>
  <si>
    <t>Cambio de Requerimientos</t>
  </si>
  <si>
    <t>Cambio de Tecnología</t>
  </si>
  <si>
    <t>Falta de compromiso con el Equipo</t>
  </si>
  <si>
    <t>OTROS COSTOS</t>
  </si>
  <si>
    <t>Capacitación Temprana, Asesoría por Expertos</t>
  </si>
  <si>
    <t>Insignificante (1)</t>
  </si>
  <si>
    <t>Riesgo muy grave. Requiere medidas preventivas urgentes. No se debe iniciar el proyecto sin la aplicación de medidas preventivas urgentes y sin acotar sólidamente el riesgo.</t>
  </si>
  <si>
    <t xml:space="preserve">Al contratar a proveedor se pondrá como condición no negociable que todo riesgo o perjuicio surgido desde el mismo, deberá ser solucionado o compensado en su totalidad por ellos mismos, y reducir al mínimo posible los daños que puedan causar. </t>
  </si>
  <si>
    <t>DONE</t>
  </si>
  <si>
    <t>ÍTEM</t>
  </si>
  <si>
    <t>N° DE SPRINT</t>
  </si>
  <si>
    <t>IMPUESTO</t>
  </si>
  <si>
    <t>N° SPRINT</t>
  </si>
  <si>
    <t>IDENTIFICACIÓN DE PROBLEMAS</t>
  </si>
  <si>
    <t>PROBLEMA</t>
  </si>
  <si>
    <t>FECHA DE SOLUCIÓN</t>
  </si>
  <si>
    <t>ESTADO</t>
  </si>
  <si>
    <t>FECHA DE DETECCIÓN</t>
  </si>
  <si>
    <t>ESFUERZO (HH)</t>
  </si>
  <si>
    <t>COSTO HH</t>
  </si>
  <si>
    <t>SCRUM MASTER</t>
  </si>
  <si>
    <t>SIN IVA</t>
  </si>
  <si>
    <t>Falta de Experiencia en la Asignación de las Estimaciones</t>
  </si>
  <si>
    <t>ESTIMACIÓN PROBABILIDAD</t>
  </si>
  <si>
    <t>ESTIMACIÓN IMPACTO</t>
  </si>
  <si>
    <t>DESCRIPCIÓN TAREA</t>
  </si>
  <si>
    <t>Analizar Causas; Tomar acciones correctivas; Monitorear resultados.</t>
  </si>
  <si>
    <t>Raro</t>
  </si>
  <si>
    <t>Posible</t>
  </si>
  <si>
    <t>Casi Seguro</t>
  </si>
  <si>
    <t>Alto</t>
  </si>
  <si>
    <t>Puede ocurrir sólo bajo circunstancias excepcionales.</t>
  </si>
  <si>
    <t>Riesgo apreciable. Estudiar económicamente si es posible introducir medidas preventivas para reducir el nivel de riesgo. Si no fuera posible, mantener las variables controladas.</t>
  </si>
  <si>
    <t>Puede ocurrir en algún momento.</t>
  </si>
  <si>
    <t>Podría ocurrir algunas veces.</t>
  </si>
  <si>
    <t>Probabilidad de ocurrencia en la mayoría de las circunstancias.</t>
  </si>
  <si>
    <t>La expectativa de ocurrencia se da en la mayoría de las circunstancias.</t>
  </si>
  <si>
    <t>No hay daño; No se afecta a la empresa; No implica pérdidas financieras.</t>
  </si>
  <si>
    <t>Puede implicar ciertos inconvenientes en el trabajo pero no significa daño a la empresa.</t>
  </si>
  <si>
    <t>Genera daños leves a la empresa, pero se puede solucionar el problema inmediatamente.</t>
  </si>
  <si>
    <t>Daños mayores a la empresa y la recuperación demanda de más tiempo y esfuerzo.</t>
  </si>
  <si>
    <t>Daños graves que afectan directamente a la continuidad de negocio en todos los ámbitos.</t>
  </si>
  <si>
    <t>Riesgo marginal. Se vigilará aunque no requiere medidas preventivas de partida.</t>
  </si>
  <si>
    <t>Nivel Probabilidad</t>
  </si>
  <si>
    <t>Nivel Impacto</t>
  </si>
  <si>
    <t>Raro                (1)</t>
  </si>
  <si>
    <t>Improbable    (2)</t>
  </si>
  <si>
    <t>Posible           (3)</t>
  </si>
  <si>
    <t>Probable        (4)</t>
  </si>
  <si>
    <t>Casi Seguro  (5)</t>
  </si>
  <si>
    <t>&gt;=5 ; &lt;=10</t>
  </si>
  <si>
    <t>&lt;5</t>
  </si>
  <si>
    <t>Bajo (2)</t>
  </si>
  <si>
    <t>Moderado  (3)</t>
  </si>
  <si>
    <t>Alto (4)</t>
  </si>
  <si>
    <t>Catastrófico (5)</t>
  </si>
  <si>
    <t>Riesgo</t>
  </si>
  <si>
    <t>El cliente no está de acuerdo con la metodología de desarrollo de software que se va a usar en el proceso de elaboración del producto.</t>
  </si>
  <si>
    <t>Falta de Experiencia Técnica</t>
  </si>
  <si>
    <t>Rastrear la información para valorar el impacto de los requerimientos, maximizar la información oculta en ellos.</t>
  </si>
  <si>
    <t>Baja disponibilidad de Personal</t>
  </si>
  <si>
    <t>Analizar impacto en proyetco o mantención; evaluar posibilidad de capacitaciones o asesoría por parte de un externo.</t>
  </si>
  <si>
    <t>Planificación de personal; revisión periódica de lo planificado;  priorización de requerimientos.</t>
  </si>
  <si>
    <t>ESFUERZO EN HH REAL</t>
  </si>
  <si>
    <t>ESFUERZO EN HH PLANIFICADO</t>
  </si>
  <si>
    <t>COSTO TOTAL REAL</t>
  </si>
  <si>
    <t>COSTO TOTAL PLANIFICADO</t>
  </si>
  <si>
    <t>PLANIFICADO</t>
  </si>
  <si>
    <t>REAL</t>
  </si>
  <si>
    <t>FECHA REAL</t>
  </si>
  <si>
    <t>N° DE SPRINT REAL</t>
  </si>
  <si>
    <t>ESFUERZO HH</t>
  </si>
  <si>
    <t>ESFUERZO POR PUNTOS DE HISTORIA</t>
  </si>
  <si>
    <t xml:space="preserve">FECHA     PLANIFICADA            </t>
  </si>
  <si>
    <t>REQUERIMIENTOS / HISTORIAS</t>
  </si>
  <si>
    <t>FECHA INICIO</t>
  </si>
  <si>
    <t>FECHA TÉRMINO</t>
  </si>
  <si>
    <t>UN PUNTO DE HISTORIA</t>
  </si>
  <si>
    <t>PUNTO HISTORIA</t>
  </si>
  <si>
    <t>Pendiente</t>
  </si>
  <si>
    <t>En Curso</t>
  </si>
  <si>
    <t>Finalizado</t>
  </si>
  <si>
    <t>HH    PLANIFICADA</t>
  </si>
  <si>
    <t>HH                REAL</t>
  </si>
  <si>
    <t>ESTADO DE TAREA</t>
  </si>
  <si>
    <t>ESTADO DE REQUERIMIENTOS / HISTORIAS</t>
  </si>
  <si>
    <t xml:space="preserve"> TOTAL NETO (U.F.)</t>
  </si>
  <si>
    <t>TOTAL PLANIFICADO (U.F.)</t>
  </si>
  <si>
    <t>TOTAL                REAL (U.F.)</t>
  </si>
  <si>
    <t>[Identificar Acción de Mitigación]</t>
  </si>
  <si>
    <t>[Otro]</t>
  </si>
  <si>
    <t>(en blanco)</t>
  </si>
  <si>
    <t>Suma de HH PLANIFICADA</t>
  </si>
  <si>
    <t>ESTIMACIÓN Y SEGUIMIENTO A SPRINT 0</t>
  </si>
  <si>
    <t>PROYECTO</t>
  </si>
  <si>
    <t xml:space="preserve">Documentación de la base de datos </t>
  </si>
  <si>
    <t>Documentación del diagrama de clases</t>
  </si>
  <si>
    <t>Desarrollo de la configuración de la Factura</t>
  </si>
  <si>
    <t>Desarrollo del envio de correo y codigo de confirmación</t>
  </si>
  <si>
    <t>Análisis del cotizador</t>
  </si>
  <si>
    <t>Desarrollo del cotizador</t>
  </si>
  <si>
    <t>Análisis de la configuración de la Factura</t>
  </si>
  <si>
    <t>Análisis del envio de correo y codigo de confirmación</t>
  </si>
  <si>
    <t>Pruebas</t>
  </si>
  <si>
    <t>Desarrollo botón de pago Servipag</t>
  </si>
  <si>
    <t>ESTIMACIÓN Y SEGUIMEINTO A SPRINT [N°2]</t>
  </si>
  <si>
    <t>ESTIMACIÓN Y SEGUIMEINTO A SPRINT [N°1]</t>
  </si>
  <si>
    <t>Análisis de Mantenedores de Empresas</t>
  </si>
  <si>
    <t>Desarrollo Mantenedores de Empresas</t>
  </si>
  <si>
    <t>Análisis de Mantenedores de Sucursales</t>
  </si>
  <si>
    <t>Desarrollo Mantenedores de Sucursales</t>
  </si>
  <si>
    <t>Análisis Mantenedores de Articulos</t>
  </si>
  <si>
    <t>Desarrollo Mantenedores de Artículos</t>
  </si>
  <si>
    <t>Análisis Mantenedores de Kits</t>
  </si>
  <si>
    <t>Desarrollo Mantenedores de Kits</t>
  </si>
  <si>
    <t>Análisis de buscador de empresas</t>
  </si>
  <si>
    <t>Desarrollo buscador de empresas</t>
  </si>
  <si>
    <t>Desarrollo de módulo de factura de venta</t>
  </si>
  <si>
    <t>Análisis de módulo factura de venta</t>
  </si>
  <si>
    <t>Análisis de módulo de factura de compra</t>
  </si>
  <si>
    <t>Desarrollo de módulo de factura de compra</t>
  </si>
  <si>
    <t>Análisis de modulo de guia de despacho</t>
  </si>
  <si>
    <t>Desarrollo de módulo de guía de despacho</t>
  </si>
  <si>
    <t>Desarrollo de módulo de nota de crédito - débito</t>
  </si>
  <si>
    <t>Análisis de módulo de nota de crédito - débito</t>
  </si>
  <si>
    <t>Prueba</t>
  </si>
  <si>
    <t xml:space="preserve">Análisis de Módulo de  Compra </t>
  </si>
  <si>
    <t>Desarrollo de  Módulo de Compra</t>
  </si>
  <si>
    <t>Análisis de Módulo de Venta</t>
  </si>
  <si>
    <t>Desarrollo de Módulo de Venta</t>
  </si>
  <si>
    <t>Configuración del Certificado Digital</t>
  </si>
  <si>
    <t>Desarrollo de la integración del Certificado Digital</t>
  </si>
  <si>
    <t>Creación de Servicio Windows de la integracion SII</t>
  </si>
  <si>
    <t>Creación del Servicio Windows que consulta estado de los documentos</t>
  </si>
  <si>
    <t>Pruebas con el SII</t>
  </si>
  <si>
    <t>Aceptación de pruebas SII</t>
  </si>
  <si>
    <t>Pruebas Finales</t>
  </si>
  <si>
    <t>VALOR DE CONSENSO (Complejidad)</t>
  </si>
  <si>
    <t>Asignar la responsabilidad de la estimación a personal calificado.Replanificación por cada Sprint.</t>
  </si>
  <si>
    <t>Modificación del cronograma del proyecto</t>
  </si>
  <si>
    <t xml:space="preserve">Solicitud de adicionales no contemplados en el alcance del proyecto </t>
  </si>
  <si>
    <t>ESTIMACIÓN Y SEGUIMEINTO A SPRINT [N°3]</t>
  </si>
  <si>
    <t>ESTIMACIÓN Y SEGUIMEINTO A SPRINT [N°4]</t>
  </si>
  <si>
    <t>ESTIMACIÓN Y SEGUIMEINTO A SPRINT [N°5]</t>
  </si>
  <si>
    <t>Análisis del mantenedor usuarios</t>
  </si>
  <si>
    <t>Desarrollo del mantenedor usuarios</t>
  </si>
  <si>
    <t>Análisis de Rendiciones</t>
  </si>
  <si>
    <t>Desarrollo Rendiciones</t>
  </si>
  <si>
    <t>Análisis del mantenedor de documentos</t>
  </si>
  <si>
    <t>Desarrollo del mantenedor de documentos</t>
  </si>
  <si>
    <t>Pruebas Unitarias</t>
  </si>
  <si>
    <t>Análisis del mantenedor Tricel</t>
  </si>
  <si>
    <t>Desarrollo del mantenedor Tricel</t>
  </si>
  <si>
    <t>Análisis del mantenedor de Proyectos</t>
  </si>
  <si>
    <t>Desarrollo del Mantenedor de Proyectos</t>
  </si>
  <si>
    <t>Análisis del Mantenedor de Calendario</t>
  </si>
  <si>
    <t>Desarrollo del mantenedor de Calendario</t>
  </si>
  <si>
    <t>Víctor Coronado</t>
  </si>
  <si>
    <t>Víctor García</t>
  </si>
  <si>
    <t>Otro 1</t>
  </si>
  <si>
    <t>Otro 2</t>
  </si>
  <si>
    <t>Otro 3</t>
  </si>
  <si>
    <t>Cpas .CL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</si>
</sst>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$&quot;\ * #,##0.00_-;\-&quot;$&quot;\ * #,##0.00_-;_-&quot;$&quot;\ * &quot;-&quot;??_-;_-@_-"/>
    <numFmt numFmtId="164" formatCode="#\ &quot;U.F.&quot;;\(\ #.##000\)\ &quot;U.F.&quot;"/>
    <numFmt numFmtId="165" formatCode="#,##0\ &quot;U.F.&quot;;\ &quot;U.F.&quot;"/>
    <numFmt numFmtId="166" formatCode="0.0\ &quot;U.F.&quot;;\(\ #.##000\)\ &quot;U.F.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5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7">
    <xf numFmtId="0" fontId="0" fillId="0" borderId="0" xfId="0"/>
    <xf numFmtId="0" fontId="3" fillId="2" borderId="0" xfId="0" applyFont="1" applyFill="1" applyProtection="1">
      <protection hidden="1"/>
    </xf>
    <xf numFmtId="0" fontId="3" fillId="0" borderId="0" xfId="0" applyFont="1" applyProtection="1">
      <protection hidden="1"/>
    </xf>
    <xf numFmtId="0" fontId="3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vertical="center"/>
      <protection hidden="1"/>
    </xf>
    <xf numFmtId="0" fontId="3" fillId="2" borderId="0" xfId="0" applyFont="1" applyFill="1" applyAlignment="1" applyProtection="1">
      <alignment vertical="center" wrapText="1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3" xfId="0" applyBorder="1"/>
    <xf numFmtId="0" fontId="0" fillId="0" borderId="1" xfId="0" applyBorder="1"/>
    <xf numFmtId="0" fontId="4" fillId="4" borderId="5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2" xfId="0" applyBorder="1"/>
    <xf numFmtId="0" fontId="0" fillId="0" borderId="6" xfId="0" applyBorder="1"/>
    <xf numFmtId="0" fontId="0" fillId="0" borderId="4" xfId="0" applyBorder="1"/>
    <xf numFmtId="0" fontId="0" fillId="0" borderId="0" xfId="0" applyAlignment="1">
      <alignment horizontal="right"/>
    </xf>
    <xf numFmtId="0" fontId="0" fillId="0" borderId="10" xfId="0" applyFill="1" applyBorder="1"/>
    <xf numFmtId="0" fontId="0" fillId="0" borderId="11" xfId="0" applyBorder="1" applyAlignment="1">
      <alignment horizontal="right"/>
    </xf>
    <xf numFmtId="0" fontId="3" fillId="0" borderId="0" xfId="0" applyFont="1" applyBorder="1" applyAlignment="1" applyProtection="1">
      <alignment horizontal="center" vertical="center"/>
      <protection hidden="1"/>
    </xf>
    <xf numFmtId="0" fontId="3" fillId="2" borderId="0" xfId="0" applyFont="1" applyFill="1" applyBorder="1" applyAlignment="1" applyProtection="1">
      <alignment horizontal="center" vertical="center"/>
      <protection hidden="1"/>
    </xf>
    <xf numFmtId="0" fontId="0" fillId="0" borderId="5" xfId="0" applyBorder="1"/>
    <xf numFmtId="0" fontId="0" fillId="0" borderId="5" xfId="0" applyFill="1" applyBorder="1"/>
    <xf numFmtId="0" fontId="4" fillId="3" borderId="0" xfId="0" applyFont="1" applyFill="1" applyBorder="1" applyAlignment="1" applyProtection="1">
      <alignment vertical="center"/>
      <protection hidden="1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NumberFormat="1" applyFont="1"/>
    <xf numFmtId="0" fontId="5" fillId="0" borderId="0" xfId="0" applyFont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/>
    <xf numFmtId="0" fontId="4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5" fillId="5" borderId="0" xfId="0" applyFont="1" applyFill="1" applyBorder="1"/>
    <xf numFmtId="0" fontId="5" fillId="5" borderId="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0" xfId="0" pivotButton="1" applyFont="1"/>
    <xf numFmtId="0" fontId="4" fillId="3" borderId="5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3" fillId="0" borderId="5" xfId="0" applyFont="1" applyBorder="1" applyAlignment="1" applyProtection="1">
      <alignment horizontal="center" vertical="center"/>
      <protection locked="0"/>
    </xf>
    <xf numFmtId="0" fontId="4" fillId="5" borderId="0" xfId="0" applyFont="1" applyFill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vertical="center"/>
      <protection locked="0"/>
    </xf>
    <xf numFmtId="0" fontId="5" fillId="0" borderId="5" xfId="0" applyFont="1" applyBorder="1" applyProtection="1">
      <protection locked="0"/>
    </xf>
    <xf numFmtId="0" fontId="5" fillId="0" borderId="0" xfId="0" applyFont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left" vertical="center" wrapText="1"/>
    </xf>
    <xf numFmtId="0" fontId="3" fillId="5" borderId="5" xfId="0" applyFont="1" applyFill="1" applyBorder="1" applyAlignment="1">
      <alignment horizontal="left" vertical="center" wrapText="1"/>
    </xf>
    <xf numFmtId="0" fontId="5" fillId="0" borderId="5" xfId="0" applyFont="1" applyBorder="1" applyAlignment="1">
      <alignment vertical="center"/>
    </xf>
    <xf numFmtId="0" fontId="5" fillId="0" borderId="13" xfId="0" applyFont="1" applyBorder="1" applyAlignment="1">
      <alignment horizontal="left" vertical="center" wrapText="1"/>
    </xf>
    <xf numFmtId="0" fontId="5" fillId="8" borderId="5" xfId="0" applyFont="1" applyFill="1" applyBorder="1"/>
    <xf numFmtId="0" fontId="5" fillId="6" borderId="5" xfId="0" applyFont="1" applyFill="1" applyBorder="1"/>
    <xf numFmtId="0" fontId="3" fillId="6" borderId="5" xfId="0" applyFont="1" applyFill="1" applyBorder="1"/>
    <xf numFmtId="0" fontId="5" fillId="7" borderId="5" xfId="0" applyFont="1" applyFill="1" applyBorder="1"/>
    <xf numFmtId="0" fontId="5" fillId="0" borderId="5" xfId="0" applyFont="1" applyBorder="1" applyAlignment="1">
      <alignment horizontal="left" vertical="center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7" fillId="2" borderId="0" xfId="0" applyFont="1" applyFill="1" applyBorder="1" applyAlignment="1" applyProtection="1">
      <alignment horizontal="left" vertical="center"/>
      <protection hidden="1"/>
    </xf>
    <xf numFmtId="0" fontId="4" fillId="4" borderId="17" xfId="0" applyFont="1" applyFill="1" applyBorder="1" applyAlignment="1" applyProtection="1">
      <alignment horizontal="center" vertical="center" wrapText="1"/>
    </xf>
    <xf numFmtId="0" fontId="6" fillId="3" borderId="20" xfId="0" applyFont="1" applyFill="1" applyBorder="1" applyAlignment="1" applyProtection="1">
      <alignment horizontal="center" vertical="center" wrapText="1"/>
    </xf>
    <xf numFmtId="0" fontId="4" fillId="3" borderId="21" xfId="0" applyFont="1" applyFill="1" applyBorder="1" applyAlignment="1" applyProtection="1">
      <alignment horizontal="center" vertical="center" wrapText="1"/>
    </xf>
    <xf numFmtId="1" fontId="3" fillId="0" borderId="20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22" xfId="0" applyFont="1" applyFill="1" applyBorder="1" applyAlignment="1" applyProtection="1">
      <alignment horizontal="center" vertical="center" wrapText="1"/>
      <protection locked="0"/>
    </xf>
    <xf numFmtId="0" fontId="3" fillId="0" borderId="24" xfId="0" applyFont="1" applyFill="1" applyBorder="1" applyAlignment="1" applyProtection="1">
      <alignment horizontal="center" vertical="center" wrapText="1"/>
      <protection locked="0"/>
    </xf>
    <xf numFmtId="0" fontId="6" fillId="3" borderId="21" xfId="0" applyFont="1" applyFill="1" applyBorder="1" applyAlignment="1" applyProtection="1">
      <alignment horizontal="center" vertical="center" wrapText="1"/>
    </xf>
    <xf numFmtId="0" fontId="3" fillId="0" borderId="20" xfId="0" applyFont="1" applyFill="1" applyBorder="1" applyAlignment="1" applyProtection="1">
      <alignment horizontal="center" vertical="center"/>
      <protection locked="0"/>
    </xf>
    <xf numFmtId="1" fontId="3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0" fontId="3" fillId="0" borderId="24" xfId="0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 wrapText="1"/>
    </xf>
    <xf numFmtId="1" fontId="3" fillId="9" borderId="20" xfId="0" applyNumberFormat="1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5" borderId="0" xfId="0" applyFont="1" applyFill="1" applyBorder="1" applyAlignment="1" applyProtection="1">
      <alignment horizontal="left" vertical="center"/>
    </xf>
    <xf numFmtId="0" fontId="4" fillId="3" borderId="28" xfId="0" applyFont="1" applyFill="1" applyBorder="1" applyAlignment="1" applyProtection="1">
      <alignment horizontal="center" vertical="center" wrapText="1"/>
    </xf>
    <xf numFmtId="0" fontId="3" fillId="0" borderId="25" xfId="0" applyFont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</xf>
    <xf numFmtId="0" fontId="3" fillId="2" borderId="22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 wrapText="1"/>
    </xf>
    <xf numFmtId="0" fontId="4" fillId="3" borderId="27" xfId="0" applyFont="1" applyFill="1" applyBorder="1" applyAlignment="1" applyProtection="1">
      <alignment horizontal="center" vertical="center" wrapText="1"/>
    </xf>
    <xf numFmtId="0" fontId="3" fillId="9" borderId="13" xfId="0" applyFont="1" applyFill="1" applyBorder="1" applyAlignment="1" applyProtection="1">
      <alignment horizontal="center" vertical="center" textRotation="45"/>
      <protection locked="0"/>
    </xf>
    <xf numFmtId="0" fontId="3" fillId="9" borderId="13" xfId="0" applyFont="1" applyFill="1" applyBorder="1" applyAlignment="1" applyProtection="1">
      <alignment horizontal="left" vertical="center" textRotation="45"/>
      <protection locked="0"/>
    </xf>
    <xf numFmtId="0" fontId="3" fillId="9" borderId="13" xfId="0" applyFont="1" applyFill="1" applyBorder="1" applyAlignment="1" applyProtection="1">
      <alignment vertical="center" textRotation="45" wrapText="1"/>
      <protection locked="0"/>
    </xf>
    <xf numFmtId="0" fontId="4" fillId="3" borderId="27" xfId="0" applyFont="1" applyFill="1" applyBorder="1" applyAlignment="1" applyProtection="1">
      <alignment horizontal="center" vertical="center"/>
    </xf>
    <xf numFmtId="0" fontId="4" fillId="4" borderId="26" xfId="0" applyFont="1" applyFill="1" applyBorder="1" applyAlignment="1" applyProtection="1">
      <alignment horizontal="center" vertical="center" wrapText="1"/>
    </xf>
    <xf numFmtId="0" fontId="0" fillId="0" borderId="6" xfId="0" applyFill="1" applyBorder="1" applyAlignment="1">
      <alignment horizontal="right"/>
    </xf>
    <xf numFmtId="0" fontId="0" fillId="0" borderId="15" xfId="0" applyBorder="1"/>
    <xf numFmtId="0" fontId="0" fillId="0" borderId="6" xfId="0" applyBorder="1" applyAlignment="1">
      <alignment horizontal="right"/>
    </xf>
    <xf numFmtId="0" fontId="6" fillId="4" borderId="41" xfId="0" applyFont="1" applyFill="1" applyBorder="1" applyAlignment="1" applyProtection="1">
      <alignment horizontal="center" vertical="center" wrapText="1"/>
      <protection locked="0"/>
    </xf>
    <xf numFmtId="0" fontId="4" fillId="4" borderId="31" xfId="0" applyFont="1" applyFill="1" applyBorder="1" applyAlignment="1" applyProtection="1">
      <alignment horizontal="center" vertical="center"/>
    </xf>
    <xf numFmtId="0" fontId="4" fillId="4" borderId="33" xfId="0" applyFont="1" applyFill="1" applyBorder="1" applyAlignment="1" applyProtection="1">
      <alignment horizontal="center" vertical="center"/>
    </xf>
    <xf numFmtId="1" fontId="3" fillId="9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9" borderId="23" xfId="0" applyFont="1" applyFill="1" applyBorder="1" applyAlignment="1" applyProtection="1">
      <alignment horizontal="center" vertical="center" wrapText="1"/>
      <protection locked="0"/>
    </xf>
    <xf numFmtId="0" fontId="4" fillId="4" borderId="13" xfId="0" applyFont="1" applyFill="1" applyBorder="1" applyAlignment="1">
      <alignment horizontal="center" vertical="center" wrapText="1"/>
    </xf>
    <xf numFmtId="0" fontId="5" fillId="0" borderId="0" xfId="0" applyFont="1" applyBorder="1"/>
    <xf numFmtId="0" fontId="4" fillId="4" borderId="42" xfId="0" applyFont="1" applyFill="1" applyBorder="1" applyAlignment="1" applyProtection="1">
      <alignment horizontal="center" vertical="center" wrapText="1"/>
    </xf>
    <xf numFmtId="164" fontId="3" fillId="9" borderId="20" xfId="1" applyNumberFormat="1" applyFont="1" applyFill="1" applyBorder="1" applyAlignment="1" applyProtection="1">
      <alignment horizontal="center" vertical="center" wrapText="1"/>
    </xf>
    <xf numFmtId="164" fontId="4" fillId="4" borderId="31" xfId="0" applyNumberFormat="1" applyFont="1" applyFill="1" applyBorder="1" applyAlignment="1" applyProtection="1">
      <alignment horizontal="center" vertical="center"/>
    </xf>
    <xf numFmtId="165" fontId="3" fillId="0" borderId="5" xfId="1" applyNumberFormat="1" applyFont="1" applyBorder="1" applyAlignment="1" applyProtection="1">
      <alignment horizontal="center" vertical="center"/>
      <protection locked="0"/>
    </xf>
    <xf numFmtId="165" fontId="3" fillId="0" borderId="25" xfId="1" applyNumberFormat="1" applyFont="1" applyBorder="1" applyAlignment="1" applyProtection="1">
      <alignment horizontal="center" vertical="center"/>
      <protection locked="0"/>
    </xf>
    <xf numFmtId="164" fontId="3" fillId="9" borderId="23" xfId="1" applyNumberFormat="1" applyFont="1" applyFill="1" applyBorder="1" applyAlignment="1" applyProtection="1">
      <alignment horizontal="center" vertical="center"/>
    </xf>
    <xf numFmtId="165" fontId="4" fillId="4" borderId="44" xfId="0" applyNumberFormat="1" applyFont="1" applyFill="1" applyBorder="1" applyAlignment="1" applyProtection="1">
      <alignment horizontal="center" vertical="center"/>
    </xf>
    <xf numFmtId="164" fontId="4" fillId="4" borderId="32" xfId="0" applyNumberFormat="1" applyFont="1" applyFill="1" applyBorder="1" applyAlignment="1" applyProtection="1">
      <alignment horizontal="center" vertical="center"/>
    </xf>
    <xf numFmtId="0" fontId="4" fillId="3" borderId="46" xfId="0" applyFont="1" applyFill="1" applyBorder="1" applyAlignment="1" applyProtection="1">
      <alignment horizontal="center" vertical="center"/>
    </xf>
    <xf numFmtId="14" fontId="3" fillId="5" borderId="22" xfId="0" applyNumberFormat="1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14" fontId="3" fillId="5" borderId="24" xfId="0" applyNumberFormat="1" applyFont="1" applyFill="1" applyBorder="1" applyAlignment="1" applyProtection="1">
      <alignment horizontal="center" vertical="center"/>
      <protection locked="0"/>
    </xf>
    <xf numFmtId="0" fontId="3" fillId="5" borderId="25" xfId="0" applyFont="1" applyFill="1" applyBorder="1" applyAlignment="1" applyProtection="1">
      <alignment horizontal="center" vertical="center"/>
      <protection locked="0"/>
    </xf>
    <xf numFmtId="165" fontId="3" fillId="5" borderId="23" xfId="1" applyNumberFormat="1" applyFont="1" applyFill="1" applyBorder="1" applyAlignment="1" applyProtection="1">
      <alignment horizontal="center" vertical="center"/>
    </xf>
    <xf numFmtId="0" fontId="4" fillId="4" borderId="16" xfId="0" applyFont="1" applyFill="1" applyBorder="1" applyAlignment="1" applyProtection="1">
      <alignment horizontal="center" vertical="center"/>
    </xf>
    <xf numFmtId="164" fontId="3" fillId="0" borderId="6" xfId="1" applyNumberFormat="1" applyFont="1" applyFill="1" applyBorder="1" applyAlignment="1" applyProtection="1">
      <alignment horizontal="center" vertical="center"/>
    </xf>
    <xf numFmtId="164" fontId="3" fillId="0" borderId="10" xfId="1" applyNumberFormat="1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14" fontId="3" fillId="9" borderId="5" xfId="0" applyNumberFormat="1" applyFont="1" applyFill="1" applyBorder="1" applyAlignment="1" applyProtection="1">
      <alignment horizontal="center" vertical="center"/>
      <protection locked="0"/>
    </xf>
    <xf numFmtId="14" fontId="3" fillId="5" borderId="5" xfId="0" applyNumberFormat="1" applyFont="1" applyFill="1" applyBorder="1" applyAlignment="1" applyProtection="1">
      <alignment horizontal="center" vertical="center"/>
      <protection locked="0"/>
    </xf>
    <xf numFmtId="14" fontId="3" fillId="9" borderId="5" xfId="0" applyNumberFormat="1" applyFont="1" applyFill="1" applyBorder="1" applyAlignment="1" applyProtection="1">
      <alignment horizontal="center"/>
      <protection locked="0"/>
    </xf>
    <xf numFmtId="14" fontId="3" fillId="2" borderId="5" xfId="0" applyNumberFormat="1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horizontal="center" vertical="center"/>
    </xf>
    <xf numFmtId="0" fontId="5" fillId="0" borderId="13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vertical="center" wrapText="1"/>
      <protection locked="0"/>
    </xf>
    <xf numFmtId="0" fontId="3" fillId="0" borderId="47" xfId="0" applyFont="1" applyFill="1" applyBorder="1" applyAlignment="1" applyProtection="1">
      <alignment horizontal="center" vertical="center" wrapText="1"/>
      <protection locked="0"/>
    </xf>
    <xf numFmtId="164" fontId="3" fillId="0" borderId="23" xfId="1" applyNumberFormat="1" applyFont="1" applyFill="1" applyBorder="1" applyAlignment="1" applyProtection="1">
      <alignment horizontal="center" vertical="center"/>
    </xf>
    <xf numFmtId="1" fontId="5" fillId="0" borderId="5" xfId="0" applyNumberFormat="1" applyFont="1" applyBorder="1" applyAlignment="1" applyProtection="1">
      <alignment horizontal="center" vertical="center"/>
      <protection locked="0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4" fillId="4" borderId="45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left" vertical="center" wrapText="1"/>
    </xf>
    <xf numFmtId="0" fontId="3" fillId="2" borderId="5" xfId="0" applyFont="1" applyFill="1" applyBorder="1" applyAlignment="1" applyProtection="1">
      <alignment horizontal="left" vertical="center" wrapText="1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left" vertical="center" wrapText="1"/>
      <protection locked="0"/>
    </xf>
    <xf numFmtId="0" fontId="3" fillId="2" borderId="15" xfId="0" applyFont="1" applyFill="1" applyBorder="1" applyAlignment="1" applyProtection="1">
      <alignment horizontal="left" vertical="center" wrapText="1"/>
      <protection locked="0"/>
    </xf>
    <xf numFmtId="0" fontId="3" fillId="2" borderId="4" xfId="0" applyFont="1" applyFill="1" applyBorder="1" applyAlignment="1" applyProtection="1">
      <alignment horizontal="left" vertical="center" wrapText="1"/>
      <protection locked="0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 applyProtection="1">
      <alignment horizontal="center" vertical="center"/>
    </xf>
    <xf numFmtId="164" fontId="4" fillId="4" borderId="5" xfId="1" applyNumberFormat="1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left" vertical="center"/>
    </xf>
    <xf numFmtId="0" fontId="7" fillId="5" borderId="6" xfId="0" applyFont="1" applyFill="1" applyBorder="1" applyAlignment="1" applyProtection="1">
      <alignment horizontal="left" vertical="center"/>
    </xf>
    <xf numFmtId="0" fontId="7" fillId="5" borderId="15" xfId="0" applyFont="1" applyFill="1" applyBorder="1" applyAlignment="1" applyProtection="1">
      <alignment horizontal="left" vertical="center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</xf>
    <xf numFmtId="166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</xf>
    <xf numFmtId="166" fontId="3" fillId="9" borderId="5" xfId="0" applyNumberFormat="1" applyFont="1" applyFill="1" applyBorder="1" applyAlignment="1" applyProtection="1">
      <alignment horizontal="center" vertical="center"/>
      <protection locked="0"/>
    </xf>
    <xf numFmtId="164" fontId="3" fillId="9" borderId="5" xfId="0" applyNumberFormat="1" applyFont="1" applyFill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7" fillId="5" borderId="5" xfId="0" applyFont="1" applyFill="1" applyBorder="1" applyAlignment="1" applyProtection="1">
      <alignment horizontal="left" vertical="center"/>
      <protection locked="0"/>
    </xf>
    <xf numFmtId="0" fontId="4" fillId="4" borderId="15" xfId="0" applyFont="1" applyFill="1" applyBorder="1" applyAlignment="1" applyProtection="1">
      <alignment horizontal="center" vertical="center"/>
    </xf>
    <xf numFmtId="14" fontId="3" fillId="9" borderId="48" xfId="0" applyNumberFormat="1" applyFont="1" applyFill="1" applyBorder="1" applyAlignment="1" applyProtection="1">
      <alignment horizontal="center" vertical="center"/>
      <protection locked="0"/>
    </xf>
    <xf numFmtId="14" fontId="3" fillId="9" borderId="37" xfId="0" applyNumberFormat="1" applyFont="1" applyFill="1" applyBorder="1" applyAlignment="1" applyProtection="1">
      <alignment horizontal="center" vertical="center"/>
      <protection locked="0"/>
    </xf>
    <xf numFmtId="14" fontId="3" fillId="9" borderId="49" xfId="0" applyNumberFormat="1" applyFont="1" applyFill="1" applyBorder="1" applyAlignment="1" applyProtection="1">
      <alignment horizontal="center" vertical="center"/>
      <protection locked="0"/>
    </xf>
    <xf numFmtId="0" fontId="4" fillId="3" borderId="34" xfId="0" applyFont="1" applyFill="1" applyBorder="1" applyAlignment="1" applyProtection="1">
      <alignment horizontal="center" vertical="center"/>
    </xf>
    <xf numFmtId="0" fontId="4" fillId="3" borderId="18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3" fillId="2" borderId="6" xfId="0" applyFont="1" applyFill="1" applyBorder="1" applyAlignment="1" applyProtection="1">
      <alignment horizontal="left" vertical="center"/>
      <protection locked="0"/>
    </xf>
    <xf numFmtId="0" fontId="3" fillId="2" borderId="15" xfId="0" applyFont="1" applyFill="1" applyBorder="1" applyAlignment="1" applyProtection="1">
      <alignment horizontal="left" vertical="center"/>
      <protection locked="0"/>
    </xf>
    <xf numFmtId="0" fontId="3" fillId="2" borderId="35" xfId="0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center"/>
      <protection locked="0"/>
    </xf>
    <xf numFmtId="0" fontId="3" fillId="2" borderId="37" xfId="0" applyFont="1" applyFill="1" applyBorder="1" applyAlignment="1" applyProtection="1">
      <alignment horizontal="left" vertical="center"/>
      <protection locked="0"/>
    </xf>
    <xf numFmtId="0" fontId="3" fillId="2" borderId="38" xfId="0" applyFont="1" applyFill="1" applyBorder="1" applyAlignment="1" applyProtection="1">
      <alignment horizontal="left" vertical="center"/>
      <protection locked="0"/>
    </xf>
    <xf numFmtId="0" fontId="4" fillId="3" borderId="17" xfId="0" applyFont="1" applyFill="1" applyBorder="1" applyAlignment="1" applyProtection="1">
      <alignment horizontal="center" vertical="center" wrapText="1"/>
    </xf>
    <xf numFmtId="0" fontId="4" fillId="3" borderId="18" xfId="0" applyFont="1" applyFill="1" applyBorder="1" applyAlignment="1" applyProtection="1">
      <alignment horizontal="center" vertical="center" wrapText="1"/>
    </xf>
    <xf numFmtId="0" fontId="4" fillId="3" borderId="41" xfId="0" applyFont="1" applyFill="1" applyBorder="1" applyAlignment="1" applyProtection="1">
      <alignment horizontal="center" vertical="center" wrapText="1"/>
    </xf>
    <xf numFmtId="14" fontId="3" fillId="9" borderId="47" xfId="0" applyNumberFormat="1" applyFont="1" applyFill="1" applyBorder="1" applyAlignment="1" applyProtection="1">
      <alignment horizontal="center" vertical="center"/>
      <protection locked="0"/>
    </xf>
    <xf numFmtId="14" fontId="3" fillId="9" borderId="15" xfId="0" applyNumberFormat="1" applyFont="1" applyFill="1" applyBorder="1" applyAlignment="1" applyProtection="1">
      <alignment horizontal="center" vertical="center"/>
      <protection locked="0"/>
    </xf>
    <xf numFmtId="14" fontId="3" fillId="9" borderId="4" xfId="0" applyNumberFormat="1" applyFont="1" applyFill="1" applyBorder="1" applyAlignment="1" applyProtection="1">
      <alignment horizontal="center" vertical="center"/>
      <protection locked="0"/>
    </xf>
    <xf numFmtId="0" fontId="4" fillId="4" borderId="39" xfId="0" applyFont="1" applyFill="1" applyBorder="1" applyAlignment="1" applyProtection="1">
      <alignment horizontal="center" vertical="center"/>
    </xf>
    <xf numFmtId="0" fontId="4" fillId="4" borderId="40" xfId="0" applyFont="1" applyFill="1" applyBorder="1" applyAlignment="1" applyProtection="1">
      <alignment horizontal="center" vertical="center"/>
    </xf>
    <xf numFmtId="0" fontId="4" fillId="4" borderId="32" xfId="0" applyFont="1" applyFill="1" applyBorder="1" applyAlignment="1" applyProtection="1">
      <alignment horizontal="center" vertical="center"/>
    </xf>
    <xf numFmtId="0" fontId="4" fillId="4" borderId="29" xfId="0" applyFont="1" applyFill="1" applyBorder="1" applyAlignment="1" applyProtection="1">
      <alignment horizontal="center" vertical="center"/>
      <protection hidden="1"/>
    </xf>
    <xf numFmtId="0" fontId="4" fillId="4" borderId="30" xfId="0" applyFont="1" applyFill="1" applyBorder="1" applyAlignment="1" applyProtection="1">
      <alignment horizontal="center" vertical="center"/>
      <protection hidden="1"/>
    </xf>
    <xf numFmtId="0" fontId="4" fillId="4" borderId="29" xfId="0" applyFont="1" applyFill="1" applyBorder="1" applyAlignment="1" applyProtection="1">
      <alignment horizontal="center" vertical="center" wrapText="1"/>
    </xf>
    <xf numFmtId="0" fontId="4" fillId="4" borderId="30" xfId="0" applyFont="1" applyFill="1" applyBorder="1" applyAlignment="1" applyProtection="1">
      <alignment horizontal="center" vertical="center" wrapText="1"/>
    </xf>
    <xf numFmtId="0" fontId="7" fillId="5" borderId="10" xfId="0" applyFont="1" applyFill="1" applyBorder="1" applyAlignment="1" applyProtection="1">
      <alignment horizontal="left" vertical="center"/>
    </xf>
    <xf numFmtId="0" fontId="7" fillId="5" borderId="7" xfId="0" applyFont="1" applyFill="1" applyBorder="1" applyAlignment="1" applyProtection="1">
      <alignment horizontal="left" vertical="center"/>
    </xf>
    <xf numFmtId="0" fontId="4" fillId="4" borderId="26" xfId="0" applyFont="1" applyFill="1" applyBorder="1" applyAlignment="1" applyProtection="1">
      <alignment horizontal="center" vertical="center"/>
    </xf>
    <xf numFmtId="0" fontId="4" fillId="4" borderId="27" xfId="0" applyFont="1" applyFill="1" applyBorder="1" applyAlignment="1" applyProtection="1">
      <alignment horizontal="center" vertical="center"/>
    </xf>
    <xf numFmtId="0" fontId="4" fillId="4" borderId="28" xfId="0" applyFont="1" applyFill="1" applyBorder="1" applyAlignment="1" applyProtection="1">
      <alignment horizontal="center" vertical="center"/>
    </xf>
    <xf numFmtId="0" fontId="7" fillId="5" borderId="11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12" xfId="0" applyFont="1" applyFill="1" applyBorder="1" applyAlignment="1" applyProtection="1">
      <alignment horizontal="left" vertical="center"/>
    </xf>
    <xf numFmtId="0" fontId="4" fillId="4" borderId="3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left" vertical="center"/>
    </xf>
    <xf numFmtId="0" fontId="5" fillId="0" borderId="6" xfId="0" applyFont="1" applyBorder="1" applyAlignment="1" applyProtection="1">
      <alignment horizontal="left" vertical="center"/>
      <protection locked="0"/>
    </xf>
    <xf numFmtId="0" fontId="5" fillId="0" borderId="4" xfId="0" applyFont="1" applyBorder="1" applyAlignment="1" applyProtection="1">
      <alignment horizontal="left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>
      <alignment horizontal="left" vertical="center"/>
      <protection locked="0"/>
    </xf>
    <xf numFmtId="0" fontId="4" fillId="4" borderId="3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153"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color auto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trike val="0"/>
        <outline val="0"/>
        <shadow val="0"/>
        <u val="none"/>
        <vertAlign val="baseline"/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#\ &quot;U.F.&quot;;\(\ #.##000\)\ &quot;U.F.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7" formatCode="_-&quot;$&quot;\ * #,##0_-;\-&quot;$&quot;\ * #,##0_-;_-&quot;$&quot;\ * &quot;-&quot;??_-;_-@_-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9"/>
        <name val="Arial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2"/>
      <tableStyleElement type="headerRow" dxfId="151"/>
    </tableStyle>
  </tableStyles>
  <colors>
    <mruColors>
      <color rgb="FF99CC00"/>
      <color rgb="FFFFCC00"/>
      <color rgb="FFFFFF00"/>
      <color rgb="FF669900"/>
      <color rgb="FFCCCC00"/>
      <color rgb="FF008000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png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7</xdr:row>
          <xdr:rowOff>104775</xdr:rowOff>
        </xdr:from>
        <xdr:to>
          <xdr:col>4</xdr:col>
          <xdr:colOff>1438275</xdr:colOff>
          <xdr:row>9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30480</xdr:colOff>
      <xdr:row>0</xdr:row>
      <xdr:rowOff>53340</xdr:rowOff>
    </xdr:from>
    <xdr:to>
      <xdr:col>3</xdr:col>
      <xdr:colOff>723900</xdr:colOff>
      <xdr:row>4</xdr:row>
      <xdr:rowOff>104951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53340"/>
          <a:ext cx="1905000" cy="6307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104775</xdr:rowOff>
        </xdr:from>
        <xdr:to>
          <xdr:col>4</xdr:col>
          <xdr:colOff>1447800</xdr:colOff>
          <xdr:row>9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30480</xdr:colOff>
      <xdr:row>0</xdr:row>
      <xdr:rowOff>53340</xdr:rowOff>
    </xdr:from>
    <xdr:to>
      <xdr:col>3</xdr:col>
      <xdr:colOff>723900</xdr:colOff>
      <xdr:row>4</xdr:row>
      <xdr:rowOff>104951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53340"/>
          <a:ext cx="1905000" cy="63073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104775</xdr:rowOff>
        </xdr:from>
        <xdr:to>
          <xdr:col>4</xdr:col>
          <xdr:colOff>1447800</xdr:colOff>
          <xdr:row>9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30480</xdr:colOff>
      <xdr:row>0</xdr:row>
      <xdr:rowOff>53340</xdr:rowOff>
    </xdr:from>
    <xdr:to>
      <xdr:col>3</xdr:col>
      <xdr:colOff>723900</xdr:colOff>
      <xdr:row>4</xdr:row>
      <xdr:rowOff>104951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53340"/>
          <a:ext cx="1905000" cy="630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104775</xdr:rowOff>
        </xdr:from>
        <xdr:to>
          <xdr:col>4</xdr:col>
          <xdr:colOff>1447800</xdr:colOff>
          <xdr:row>9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30480</xdr:colOff>
      <xdr:row>0</xdr:row>
      <xdr:rowOff>53340</xdr:rowOff>
    </xdr:from>
    <xdr:to>
      <xdr:col>3</xdr:col>
      <xdr:colOff>723900</xdr:colOff>
      <xdr:row>4</xdr:row>
      <xdr:rowOff>104951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53340"/>
          <a:ext cx="1905000" cy="6307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104775</xdr:rowOff>
        </xdr:from>
        <xdr:to>
          <xdr:col>4</xdr:col>
          <xdr:colOff>1447800</xdr:colOff>
          <xdr:row>9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30480</xdr:colOff>
      <xdr:row>0</xdr:row>
      <xdr:rowOff>53340</xdr:rowOff>
    </xdr:from>
    <xdr:to>
      <xdr:col>3</xdr:col>
      <xdr:colOff>723900</xdr:colOff>
      <xdr:row>4</xdr:row>
      <xdr:rowOff>104951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53340"/>
          <a:ext cx="1905000" cy="63073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19049</xdr:colOff>
      <xdr:row>16</xdr:row>
      <xdr:rowOff>85725</xdr:rowOff>
    </xdr:from>
    <xdr:to>
      <xdr:col>6</xdr:col>
      <xdr:colOff>666749</xdr:colOff>
      <xdr:row>23</xdr:row>
      <xdr:rowOff>95250</xdr:rowOff>
    </xdr:to>
    <xdr:pic>
      <xdr:nvPicPr>
        <xdr:cNvPr id="14" name="Imagen 1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9" y="2638425"/>
          <a:ext cx="5591175" cy="1076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19050</xdr:colOff>
      <xdr:row>24</xdr:row>
      <xdr:rowOff>66675</xdr:rowOff>
    </xdr:from>
    <xdr:to>
      <xdr:col>6</xdr:col>
      <xdr:colOff>1628775</xdr:colOff>
      <xdr:row>31</xdr:row>
      <xdr:rowOff>76200</xdr:rowOff>
    </xdr:to>
    <xdr:pic>
      <xdr:nvPicPr>
        <xdr:cNvPr id="15" name="Imagen 1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838575"/>
          <a:ext cx="6553200" cy="1076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7</xdr:row>
      <xdr:rowOff>57151</xdr:rowOff>
    </xdr:from>
    <xdr:to>
      <xdr:col>6</xdr:col>
      <xdr:colOff>666750</xdr:colOff>
      <xdr:row>15</xdr:row>
      <xdr:rowOff>123827</xdr:rowOff>
    </xdr:to>
    <xdr:pic>
      <xdr:nvPicPr>
        <xdr:cNvPr id="7" name="Imagen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238251"/>
          <a:ext cx="5610225" cy="12858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32</xdr:row>
      <xdr:rowOff>47625</xdr:rowOff>
    </xdr:from>
    <xdr:to>
      <xdr:col>6</xdr:col>
      <xdr:colOff>1628775</xdr:colOff>
      <xdr:row>37</xdr:row>
      <xdr:rowOff>57150</xdr:rowOff>
    </xdr:to>
    <xdr:pic>
      <xdr:nvPicPr>
        <xdr:cNvPr id="12" name="Imagen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5038725"/>
          <a:ext cx="6553200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1562100</xdr:colOff>
      <xdr:row>5</xdr:row>
      <xdr:rowOff>51611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144780"/>
          <a:ext cx="1905000" cy="63073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coronado" refreshedDate="42606.644232175924" createdVersion="5" refreshedVersion="5" minRefreshableVersion="3" recordCount="26">
  <cacheSource type="worksheet">
    <worksheetSource ref="C12:G38" sheet="SPRINT N° 2"/>
  </cacheSource>
  <cacheFields count="5">
    <cacheField name="N° REQM" numFmtId="0">
      <sharedItems containsString="0" containsBlank="1" containsNumber="1" containsInteger="1" minValue="1" maxValue="7" count="8">
        <n v="1"/>
        <n v="2"/>
        <n v="3"/>
        <n v="4"/>
        <n v="5"/>
        <n v="6"/>
        <n v="7"/>
        <m/>
      </sharedItems>
    </cacheField>
    <cacheField name="N° TAREA" numFmtId="0">
      <sharedItems containsString="0" containsBlank="1" containsNumber="1" containsInteger="1" minValue="1" maxValue="11"/>
    </cacheField>
    <cacheField name="DESCRIPCIÓN TAREA" numFmtId="0">
      <sharedItems containsBlank="1"/>
    </cacheField>
    <cacheField name="DONE" numFmtId="0">
      <sharedItems containsNonDate="0" containsString="0" containsBlank="1"/>
    </cacheField>
    <cacheField name="HH    PLANIFICAD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n v="1"/>
    <s v="Documentación de la base de datos "/>
    <m/>
    <m/>
  </r>
  <r>
    <x v="1"/>
    <n v="2"/>
    <s v="Documentación del diagrama de clases"/>
    <m/>
    <m/>
  </r>
  <r>
    <x v="2"/>
    <n v="3"/>
    <s v="Análisis de Mantenedores de Empresas"/>
    <m/>
    <m/>
  </r>
  <r>
    <x v="2"/>
    <n v="4"/>
    <s v="Desarrollo Mantenedores de Empresas"/>
    <m/>
    <m/>
  </r>
  <r>
    <x v="3"/>
    <n v="5"/>
    <s v="Análisis de Mantenedores de Sucursales"/>
    <m/>
    <m/>
  </r>
  <r>
    <x v="3"/>
    <n v="6"/>
    <s v="Desarrollo Mantenedores de Sucursales"/>
    <m/>
    <m/>
  </r>
  <r>
    <x v="4"/>
    <n v="7"/>
    <s v="Análisis Mantenedores de Articulos"/>
    <m/>
    <m/>
  </r>
  <r>
    <x v="4"/>
    <n v="8"/>
    <s v="Desarrollo Mantenedores de Artículos"/>
    <m/>
    <m/>
  </r>
  <r>
    <x v="5"/>
    <n v="9"/>
    <s v="Análisis Mantenedores de Kits"/>
    <m/>
    <m/>
  </r>
  <r>
    <x v="5"/>
    <n v="10"/>
    <s v="Desarrollo Mantenedores de Kits"/>
    <m/>
    <m/>
  </r>
  <r>
    <x v="6"/>
    <n v="11"/>
    <s v="Pruebas"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9">
        <item x="0"/>
        <item x="1"/>
        <item x="2"/>
        <item x="3"/>
        <item x="7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0" type="button" dataOnly="0" labelOnly="1" outline="0" axis="axisRow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Row="1" outline="0" fieldPosition="0"/>
    </format>
    <format dxfId="1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0" type="button" dataOnly="0" labelOnly="1" outline="0" axis="axisRow" fieldPosition="0"/>
    </format>
    <format dxfId="121">
      <pivotArea dataOnly="0" labelOnly="1" fieldPosition="0">
        <references count="1">
          <reference field="0" count="0"/>
        </references>
      </pivotArea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9">
        <item x="0"/>
        <item x="1"/>
        <item x="2"/>
        <item x="3"/>
        <item x="7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0" type="button" dataOnly="0" labelOnly="1" outline="0" axis="axisRow" fieldPosition="0"/>
    </format>
    <format dxfId="113">
      <pivotArea dataOnly="0" labelOnly="1" fieldPosition="0">
        <references count="1">
          <reference field="0" count="0"/>
        </references>
      </pivotArea>
    </format>
    <format dxfId="112">
      <pivotArea dataOnly="0" labelOnly="1" grandRow="1" outline="0" fieldPosition="0"/>
    </format>
    <format dxfId="1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0" type="button" dataOnly="0" labelOnly="1" outline="0" axis="axisRow" fieldPosition="0"/>
    </format>
    <format dxfId="107">
      <pivotArea dataOnly="0" labelOnly="1" fieldPosition="0">
        <references count="1">
          <reference field="0" count="0"/>
        </references>
      </pivotArea>
    </format>
    <format dxfId="106">
      <pivotArea dataOnly="0" labelOnly="1" grandRow="1" outline="0" fieldPosition="0"/>
    </format>
    <format dxfId="10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9">
        <item x="0"/>
        <item x="1"/>
        <item x="2"/>
        <item x="3"/>
        <item x="7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0" type="button" dataOnly="0" labelOnly="1" outline="0" axis="axisRow" fieldPosition="0"/>
    </format>
    <format dxfId="99">
      <pivotArea dataOnly="0" labelOnly="1" fieldPosition="0">
        <references count="1">
          <reference field="0" count="0"/>
        </references>
      </pivotArea>
    </format>
    <format dxfId="98">
      <pivotArea dataOnly="0" labelOnly="1" grandRow="1" outline="0" fieldPosition="0"/>
    </format>
    <format dxfId="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9">
        <item x="0"/>
        <item x="1"/>
        <item x="2"/>
        <item x="3"/>
        <item x="7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0" type="button" dataOnly="0" labelOnly="1" outline="0" axis="axisRow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grandRow="1" outline="0" fieldPosition="0"/>
    </format>
    <format dxfId="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0"/>
        </references>
      </pivotArea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9">
        <item x="0"/>
        <item x="1"/>
        <item x="2"/>
        <item x="3"/>
        <item x="7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0" type="button" dataOnly="0" labelOnly="1" outline="0" axis="axisRow" fieldPosition="0"/>
    </format>
    <format dxfId="71">
      <pivotArea dataOnly="0" labelOnly="1" fieldPosition="0">
        <references count="1">
          <reference field="0" count="0"/>
        </references>
      </pivotArea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" name="Tabla2" displayName="Tabla2" ref="C26:O45" totalsRowShown="0" headerRowDxfId="150" dataDxfId="148" headerRowBorderDxfId="149" tableBorderDxfId="147" totalsRowBorderDxfId="146">
  <sortState ref="C5:R34">
    <sortCondition ref="I5:I35"/>
  </sortState>
  <tableColumns count="13">
    <tableColumn id="1" name="REQUERIMIENTOS / HISTORIAS" dataDxfId="145"/>
    <tableColumn id="14" name="E1" dataDxfId="144"/>
    <tableColumn id="6" name="E2" dataDxfId="143"/>
    <tableColumn id="13" name="E3" dataDxfId="142"/>
    <tableColumn id="5" name="E4" dataDxfId="141"/>
    <tableColumn id="2" name="E5" dataDxfId="140"/>
    <tableColumn id="3" name="VALOR DE CONSENSO (Complejidad)" dataDxfId="139">
      <calculatedColumnFormula>AVERAGE(Tabla2[[#This Row],[E1]:[E5]])</calculatedColumnFormula>
    </tableColumn>
    <tableColumn id="10" name="N° SPRINT" dataDxfId="138"/>
    <tableColumn id="4" name="ESFUERZO EN HH PLANIFICADO" dataDxfId="137">
      <calculatedColumnFormula>(VLOOKUP($D$12,DATOS!$H$13:$I$15,2,FALSE)*Tabla2[VALOR DE CONSENSO (Complejidad)])</calculatedColumnFormula>
    </tableColumn>
    <tableColumn id="12" name="ESFUERZO EN HH REAL" dataDxfId="136"/>
    <tableColumn id="9" name="COSTO TOTAL PLANIFICADO" dataDxfId="135" dataCellStyle="Moneda">
      <calculatedColumnFormula>(($D$18*Tabla2[[#This Row],[ESFUERZO EN HH PLANIFICADO]]))</calculatedColumnFormula>
    </tableColumn>
    <tableColumn id="8" name="COSTO TOTAL REAL" dataDxfId="134" dataCellStyle="Moneda">
      <calculatedColumnFormula>$G$18*Tabla2[[#This Row],[ESFUERZO EN HH REAL]]</calculatedColumnFormula>
    </tableColumn>
    <tableColumn id="7" name="ESTADO DE REQUERIMIENTOS / HISTORIAS" dataDxfId="133"/>
  </tableColumns>
  <tableStyleInfo name="TableStyleLight8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7:U63"/>
  <sheetViews>
    <sheetView showGridLines="0" tabSelected="1" topLeftCell="A22" zoomScale="115" zoomScaleNormal="115" zoomScaleSheetLayoutView="100" workbookViewId="0">
      <selection activeCell="I41" sqref="I41"/>
    </sheetView>
  </sheetViews>
  <sheetFormatPr baseColWidth="10" defaultColWidth="11.42578125" defaultRowHeight="12" x14ac:dyDescent="0.2"/>
  <cols>
    <col min="1" max="1" width="3.140625" style="1" customWidth="1"/>
    <col min="2" max="2" width="5" style="3" customWidth="1"/>
    <col min="3" max="3" width="38.140625" style="3" customWidth="1"/>
    <col min="4" max="5" width="5.7109375" style="3" customWidth="1"/>
    <col min="6" max="6" width="5.7109375" style="4" customWidth="1"/>
    <col min="7" max="8" width="5.7109375" style="7" customWidth="1"/>
    <col min="9" max="9" width="15.5703125" style="7" customWidth="1"/>
    <col min="10" max="10" width="12.140625" style="7" customWidth="1"/>
    <col min="11" max="11" width="14.7109375" style="7" customWidth="1"/>
    <col min="12" max="12" width="14.7109375" style="1" customWidth="1"/>
    <col min="13" max="13" width="14.85546875" style="1" bestFit="1" customWidth="1"/>
    <col min="14" max="14" width="14.85546875" style="1" customWidth="1"/>
    <col min="15" max="15" width="15.5703125" style="1" customWidth="1"/>
    <col min="16" max="16" width="11.42578125" style="2"/>
    <col min="17" max="17" width="24.140625" style="2" customWidth="1"/>
    <col min="18" max="18" width="30" style="2" customWidth="1"/>
    <col min="19" max="19" width="18.140625" style="2" customWidth="1"/>
    <col min="20" max="16384" width="11.42578125" style="2"/>
  </cols>
  <sheetData>
    <row r="7" spans="2:15" ht="21" customHeight="1" x14ac:dyDescent="0.2">
      <c r="B7" s="159" t="s">
        <v>168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s="75" customFormat="1" ht="11.25" customHeight="1" x14ac:dyDescent="0.2"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</row>
    <row r="9" spans="2:15" s="75" customFormat="1" ht="11.25" customHeight="1" x14ac:dyDescent="0.2">
      <c r="B9" s="76"/>
      <c r="C9" s="76"/>
      <c r="D9" s="76"/>
      <c r="E9" s="76"/>
      <c r="F9" s="76"/>
      <c r="G9" s="76"/>
      <c r="H9" s="76"/>
      <c r="I9" s="76"/>
    </row>
    <row r="10" spans="2:15" s="75" customFormat="1" ht="11.25" customHeight="1" x14ac:dyDescent="0.2">
      <c r="B10" s="162" t="s">
        <v>169</v>
      </c>
      <c r="C10" s="162"/>
      <c r="D10" s="174" t="s">
        <v>237</v>
      </c>
      <c r="E10" s="174"/>
      <c r="F10" s="174"/>
      <c r="G10" s="174"/>
      <c r="H10" s="174"/>
      <c r="I10" s="174"/>
      <c r="K10" s="93"/>
      <c r="L10" s="160" t="s">
        <v>142</v>
      </c>
      <c r="M10" s="161"/>
      <c r="N10" s="160" t="s">
        <v>143</v>
      </c>
      <c r="O10" s="161"/>
    </row>
    <row r="11" spans="2:15" s="75" customFormat="1" x14ac:dyDescent="0.2">
      <c r="B11" s="162" t="s">
        <v>95</v>
      </c>
      <c r="C11" s="162"/>
      <c r="D11" s="174" t="s">
        <v>232</v>
      </c>
      <c r="E11" s="174"/>
      <c r="F11" s="174"/>
      <c r="G11" s="174"/>
      <c r="H11" s="174"/>
      <c r="I11" s="174"/>
      <c r="K11" s="138" t="s">
        <v>87</v>
      </c>
      <c r="L11" s="52" t="s">
        <v>150</v>
      </c>
      <c r="M11" s="52" t="s">
        <v>151</v>
      </c>
      <c r="N11" s="52" t="s">
        <v>150</v>
      </c>
      <c r="O11" s="52" t="s">
        <v>151</v>
      </c>
    </row>
    <row r="12" spans="2:15" s="75" customFormat="1" x14ac:dyDescent="0.2">
      <c r="B12" s="162" t="s">
        <v>152</v>
      </c>
      <c r="C12" s="162"/>
      <c r="D12" s="165" t="s">
        <v>16</v>
      </c>
      <c r="E12" s="165"/>
      <c r="F12" s="165"/>
      <c r="G12" s="165"/>
      <c r="H12" s="165"/>
      <c r="I12" s="165"/>
      <c r="K12" s="126">
        <v>1</v>
      </c>
      <c r="L12" s="134">
        <v>42570</v>
      </c>
      <c r="M12" s="134">
        <v>42580</v>
      </c>
      <c r="N12" s="135"/>
      <c r="O12" s="135"/>
    </row>
    <row r="13" spans="2:15" s="75" customFormat="1" x14ac:dyDescent="0.2">
      <c r="B13" s="77"/>
      <c r="C13" s="77"/>
      <c r="D13" s="76"/>
      <c r="E13" s="76"/>
      <c r="F13" s="76"/>
      <c r="G13" s="76"/>
      <c r="H13" s="76"/>
      <c r="I13" s="76"/>
      <c r="K13" s="126">
        <v>2</v>
      </c>
      <c r="L13" s="134">
        <v>42580</v>
      </c>
      <c r="M13" s="134">
        <v>42599</v>
      </c>
      <c r="N13" s="135"/>
      <c r="O13" s="135"/>
    </row>
    <row r="14" spans="2:15" x14ac:dyDescent="0.2">
      <c r="D14" s="160" t="s">
        <v>142</v>
      </c>
      <c r="E14" s="175"/>
      <c r="F14" s="161"/>
      <c r="G14" s="160" t="s">
        <v>143</v>
      </c>
      <c r="H14" s="175"/>
      <c r="I14" s="161"/>
      <c r="K14" s="74">
        <v>3</v>
      </c>
      <c r="L14" s="134">
        <v>42600</v>
      </c>
      <c r="M14" s="136">
        <v>42625</v>
      </c>
      <c r="N14" s="137"/>
      <c r="O14" s="137"/>
    </row>
    <row r="15" spans="2:15" x14ac:dyDescent="0.2">
      <c r="B15" s="201" t="s">
        <v>0</v>
      </c>
      <c r="C15" s="202"/>
      <c r="D15" s="157">
        <f>COUNTA(Tabla2[REQUERIMIENTOS / HISTORIAS])</f>
        <v>19</v>
      </c>
      <c r="E15" s="157"/>
      <c r="F15" s="157"/>
      <c r="G15" s="171"/>
      <c r="H15" s="172"/>
      <c r="I15" s="173"/>
      <c r="K15" s="74">
        <v>4</v>
      </c>
      <c r="L15" s="134">
        <v>42626</v>
      </c>
      <c r="M15" s="136">
        <v>42650</v>
      </c>
      <c r="N15" s="137"/>
      <c r="O15" s="137"/>
    </row>
    <row r="16" spans="2:15" x14ac:dyDescent="0.2">
      <c r="B16" s="163" t="s">
        <v>1</v>
      </c>
      <c r="C16" s="164"/>
      <c r="D16" s="157">
        <f>I46</f>
        <v>61</v>
      </c>
      <c r="E16" s="157"/>
      <c r="F16" s="157"/>
      <c r="G16" s="165"/>
      <c r="H16" s="165"/>
      <c r="I16" s="165"/>
      <c r="K16" s="74">
        <v>5</v>
      </c>
      <c r="L16" s="134">
        <v>42650</v>
      </c>
      <c r="M16" s="136">
        <v>42692</v>
      </c>
      <c r="N16" s="137"/>
      <c r="O16" s="137"/>
    </row>
    <row r="17" spans="1:21" x14ac:dyDescent="0.2">
      <c r="B17" s="163" t="s">
        <v>93</v>
      </c>
      <c r="C17" s="164"/>
      <c r="D17" s="157">
        <f>K46</f>
        <v>488</v>
      </c>
      <c r="E17" s="157"/>
      <c r="F17" s="157"/>
      <c r="G17" s="166"/>
      <c r="H17" s="166"/>
      <c r="I17" s="166"/>
      <c r="K17" s="74">
        <v>6</v>
      </c>
      <c r="L17" s="134"/>
      <c r="M17" s="136"/>
      <c r="N17" s="137"/>
      <c r="O17" s="137"/>
    </row>
    <row r="18" spans="1:21" x14ac:dyDescent="0.2">
      <c r="B18" s="206" t="s">
        <v>34</v>
      </c>
      <c r="C18" s="207"/>
      <c r="D18" s="169">
        <v>0.4</v>
      </c>
      <c r="E18" s="169"/>
      <c r="F18" s="169"/>
      <c r="G18" s="167"/>
      <c r="H18" s="167"/>
      <c r="I18" s="167"/>
      <c r="K18" s="74">
        <v>7</v>
      </c>
      <c r="L18" s="134"/>
      <c r="M18" s="136"/>
      <c r="N18" s="137"/>
      <c r="O18" s="137"/>
    </row>
    <row r="19" spans="1:21" x14ac:dyDescent="0.2">
      <c r="B19" s="163" t="s">
        <v>21</v>
      </c>
      <c r="C19" s="164"/>
      <c r="D19" s="170">
        <f>M46+L55</f>
        <v>195.20000000000002</v>
      </c>
      <c r="E19" s="170"/>
      <c r="F19" s="170"/>
      <c r="G19" s="168">
        <f>N46+O55</f>
        <v>0</v>
      </c>
      <c r="H19" s="168"/>
      <c r="I19" s="168"/>
      <c r="K19" s="74">
        <v>8</v>
      </c>
      <c r="L19" s="134"/>
      <c r="M19" s="136"/>
      <c r="N19" s="137"/>
      <c r="O19" s="137"/>
    </row>
    <row r="20" spans="1:21" x14ac:dyDescent="0.2">
      <c r="B20" s="208" t="s">
        <v>44</v>
      </c>
      <c r="C20" s="209"/>
      <c r="D20" s="156">
        <v>20</v>
      </c>
      <c r="E20" s="156"/>
      <c r="F20" s="156"/>
      <c r="G20" s="152"/>
      <c r="H20" s="152"/>
      <c r="I20" s="152"/>
      <c r="K20" s="74">
        <v>9</v>
      </c>
      <c r="L20" s="134"/>
      <c r="M20" s="136"/>
      <c r="N20" s="137"/>
      <c r="O20" s="137"/>
    </row>
    <row r="21" spans="1:21" x14ac:dyDescent="0.2">
      <c r="B21" s="206" t="s">
        <v>43</v>
      </c>
      <c r="C21" s="207"/>
      <c r="D21" s="157">
        <v>4</v>
      </c>
      <c r="E21" s="157"/>
      <c r="F21" s="157"/>
      <c r="G21" s="152"/>
      <c r="H21" s="152"/>
      <c r="I21" s="152"/>
      <c r="K21" s="74">
        <v>10</v>
      </c>
      <c r="L21" s="134"/>
      <c r="M21" s="136"/>
      <c r="N21" s="137"/>
      <c r="O21" s="137"/>
    </row>
    <row r="22" spans="1:21" x14ac:dyDescent="0.2">
      <c r="B22" s="210" t="s">
        <v>12</v>
      </c>
      <c r="C22" s="211"/>
      <c r="D22" s="158">
        <f>(((M46+L55)*10%)+(M46+L55))</f>
        <v>214.72000000000003</v>
      </c>
      <c r="E22" s="158"/>
      <c r="F22" s="158"/>
      <c r="G22" s="158">
        <f>((N46+O55)*10%+(N46+O55))</f>
        <v>0</v>
      </c>
      <c r="H22" s="158"/>
      <c r="I22" s="158"/>
      <c r="K22" s="52">
        <f>COUNT(K12:K21)</f>
        <v>10</v>
      </c>
    </row>
    <row r="23" spans="1:21" x14ac:dyDescent="0.2">
      <c r="C23" s="2"/>
      <c r="D23" s="24"/>
      <c r="E23" s="24"/>
      <c r="F23" s="2"/>
      <c r="H23" s="4"/>
      <c r="I23" s="4"/>
      <c r="J23" s="4"/>
      <c r="K23" s="4"/>
    </row>
    <row r="24" spans="1:21" ht="72.75" customHeight="1" thickBot="1" x14ac:dyDescent="0.25">
      <c r="C24" s="2"/>
      <c r="D24" s="101" t="s">
        <v>232</v>
      </c>
      <c r="E24" s="101" t="s">
        <v>233</v>
      </c>
      <c r="F24" s="102" t="s">
        <v>234</v>
      </c>
      <c r="G24" s="103" t="s">
        <v>235</v>
      </c>
      <c r="H24" s="103" t="s">
        <v>236</v>
      </c>
      <c r="I24" s="4"/>
      <c r="J24" s="4"/>
      <c r="K24" s="4"/>
    </row>
    <row r="25" spans="1:21" ht="15" customHeight="1" thickBot="1" x14ac:dyDescent="0.25">
      <c r="B25" s="55"/>
      <c r="C25" s="55"/>
      <c r="D25" s="203" t="s">
        <v>147</v>
      </c>
      <c r="E25" s="204"/>
      <c r="F25" s="204"/>
      <c r="G25" s="204"/>
      <c r="H25" s="204"/>
      <c r="I25" s="205"/>
      <c r="J25" s="78" t="s">
        <v>10</v>
      </c>
      <c r="K25" s="197" t="s">
        <v>146</v>
      </c>
      <c r="L25" s="198"/>
      <c r="M25" s="199" t="s">
        <v>94</v>
      </c>
      <c r="N25" s="200"/>
      <c r="T25" s="3"/>
      <c r="U25" s="4"/>
    </row>
    <row r="26" spans="1:21" s="6" customFormat="1" ht="36" x14ac:dyDescent="0.25">
      <c r="A26" s="5"/>
      <c r="B26" s="105" t="s">
        <v>2</v>
      </c>
      <c r="C26" s="109" t="s">
        <v>149</v>
      </c>
      <c r="D26" s="79" t="s">
        <v>35</v>
      </c>
      <c r="E26" s="56" t="s">
        <v>36</v>
      </c>
      <c r="F26" s="56" t="s">
        <v>37</v>
      </c>
      <c r="G26" s="56" t="s">
        <v>38</v>
      </c>
      <c r="H26" s="56" t="s">
        <v>39</v>
      </c>
      <c r="I26" s="84" t="s">
        <v>212</v>
      </c>
      <c r="J26" s="79" t="s">
        <v>87</v>
      </c>
      <c r="K26" s="90" t="s">
        <v>139</v>
      </c>
      <c r="L26" s="80" t="s">
        <v>138</v>
      </c>
      <c r="M26" s="90" t="s">
        <v>141</v>
      </c>
      <c r="N26" s="92" t="s">
        <v>140</v>
      </c>
      <c r="O26" s="116" t="s">
        <v>160</v>
      </c>
      <c r="T26" s="3"/>
      <c r="U26" s="4"/>
    </row>
    <row r="27" spans="1:21" x14ac:dyDescent="0.2">
      <c r="B27" s="97">
        <v>1</v>
      </c>
      <c r="C27" s="141" t="s">
        <v>170</v>
      </c>
      <c r="D27" s="85">
        <v>1</v>
      </c>
      <c r="E27" s="53">
        <v>2</v>
      </c>
      <c r="F27" s="53"/>
      <c r="G27" s="53"/>
      <c r="H27" s="53"/>
      <c r="I27" s="112">
        <v>3</v>
      </c>
      <c r="J27" s="81">
        <v>1</v>
      </c>
      <c r="K27" s="91">
        <f>(VLOOKUP($D$12,DATOS!$H$13:$I$15,2,FALSE)*Tabla2[VALOR DE CONSENSO (Complejidad)])</f>
        <v>24</v>
      </c>
      <c r="L27" s="86"/>
      <c r="M27" s="117">
        <f>(($D$18*Tabla2[[#This Row],[ESFUERZO EN HH PLANIFICADO]]))</f>
        <v>9.6000000000000014</v>
      </c>
      <c r="N27" s="131">
        <f>$G$18*Tabla2[[#This Row],[ESFUERZO EN HH REAL]]</f>
        <v>0</v>
      </c>
      <c r="O27" s="133" t="s">
        <v>154</v>
      </c>
      <c r="U27" s="4"/>
    </row>
    <row r="28" spans="1:21" x14ac:dyDescent="0.2">
      <c r="B28" s="97">
        <v>2</v>
      </c>
      <c r="C28" s="141" t="s">
        <v>171</v>
      </c>
      <c r="D28" s="87">
        <v>2</v>
      </c>
      <c r="E28" s="54">
        <v>8</v>
      </c>
      <c r="F28" s="54"/>
      <c r="G28" s="54"/>
      <c r="H28" s="54"/>
      <c r="I28" s="113">
        <v>2</v>
      </c>
      <c r="J28" s="82">
        <v>1</v>
      </c>
      <c r="K28" s="91">
        <f>(VLOOKUP($D$12,DATOS!$H$13:$I$15,2,FALSE)*Tabla2[VALOR DE CONSENSO (Complejidad)])</f>
        <v>16</v>
      </c>
      <c r="L28" s="86"/>
      <c r="M28" s="117">
        <f>(($D$18*Tabla2[[#This Row],[ESFUERZO EN HH PLANIFICADO]]))</f>
        <v>6.4</v>
      </c>
      <c r="N28" s="131">
        <f>$G$18*Tabla2[[#This Row],[ESFUERZO EN HH REAL]]</f>
        <v>0</v>
      </c>
      <c r="O28" s="133" t="s">
        <v>154</v>
      </c>
      <c r="P28" s="1"/>
      <c r="Q28" s="1"/>
      <c r="R28" s="1"/>
    </row>
    <row r="29" spans="1:21" x14ac:dyDescent="0.2">
      <c r="B29" s="97">
        <v>3</v>
      </c>
      <c r="C29" s="141" t="s">
        <v>219</v>
      </c>
      <c r="D29" s="87">
        <v>1</v>
      </c>
      <c r="E29" s="54">
        <v>1.5</v>
      </c>
      <c r="F29" s="54"/>
      <c r="G29" s="54"/>
      <c r="H29" s="54"/>
      <c r="I29" s="113">
        <v>2</v>
      </c>
      <c r="J29" s="82">
        <v>1</v>
      </c>
      <c r="K29" s="91">
        <f>(VLOOKUP($D$12,DATOS!$H$13:$I$15,2,FALSE)*Tabla2[VALOR DE CONSENSO (Complejidad)])</f>
        <v>16</v>
      </c>
      <c r="L29" s="86"/>
      <c r="M29" s="117">
        <f>(($D$18*Tabla2[[#This Row],[ESFUERZO EN HH PLANIFICADO]]))</f>
        <v>6.4</v>
      </c>
      <c r="N29" s="131">
        <f>$G$18*Tabla2[[#This Row],[ESFUERZO EN HH REAL]]</f>
        <v>0</v>
      </c>
      <c r="O29" s="133" t="s">
        <v>154</v>
      </c>
      <c r="P29" s="1"/>
      <c r="Q29" s="1"/>
      <c r="R29" s="1"/>
    </row>
    <row r="30" spans="1:21" x14ac:dyDescent="0.2">
      <c r="B30" s="97">
        <v>4</v>
      </c>
      <c r="C30" s="141" t="s">
        <v>220</v>
      </c>
      <c r="D30" s="85">
        <v>8</v>
      </c>
      <c r="E30" s="53">
        <v>1</v>
      </c>
      <c r="F30" s="53"/>
      <c r="G30" s="53"/>
      <c r="H30" s="53"/>
      <c r="I30" s="113">
        <v>3</v>
      </c>
      <c r="J30" s="82">
        <v>1</v>
      </c>
      <c r="K30" s="91">
        <f>(VLOOKUP($D$12,DATOS!$H$13:$I$15,2,FALSE)*Tabla2[VALOR DE CONSENSO (Complejidad)])</f>
        <v>24</v>
      </c>
      <c r="L30" s="86"/>
      <c r="M30" s="117">
        <f>(($D$18*Tabla2[[#This Row],[ESFUERZO EN HH PLANIFICADO]]))</f>
        <v>9.6000000000000014</v>
      </c>
      <c r="N30" s="131">
        <f>$G$18*Tabla2[[#This Row],[ESFUERZO EN HH REAL]]</f>
        <v>0</v>
      </c>
      <c r="O30" s="133" t="s">
        <v>154</v>
      </c>
      <c r="P30" s="1"/>
      <c r="Q30" s="1"/>
      <c r="R30" s="1"/>
    </row>
    <row r="31" spans="1:21" x14ac:dyDescent="0.2">
      <c r="B31" s="97">
        <v>5</v>
      </c>
      <c r="C31" s="141" t="s">
        <v>221</v>
      </c>
      <c r="D31" s="87">
        <v>2</v>
      </c>
      <c r="E31" s="54">
        <v>4</v>
      </c>
      <c r="F31" s="54"/>
      <c r="G31" s="54"/>
      <c r="H31" s="54"/>
      <c r="I31" s="113">
        <v>3</v>
      </c>
      <c r="J31" s="82">
        <v>1</v>
      </c>
      <c r="K31" s="91">
        <f>(VLOOKUP($D$12,DATOS!$H$13:$I$15,2,FALSE)*Tabla2[VALOR DE CONSENSO (Complejidad)])</f>
        <v>24</v>
      </c>
      <c r="L31" s="86"/>
      <c r="M31" s="117">
        <f>(($D$18*Tabla2[[#This Row],[ESFUERZO EN HH PLANIFICADO]]))</f>
        <v>9.6000000000000014</v>
      </c>
      <c r="N31" s="131">
        <f>$G$18*Tabla2[[#This Row],[ESFUERZO EN HH REAL]]</f>
        <v>0</v>
      </c>
      <c r="O31" s="133" t="s">
        <v>154</v>
      </c>
      <c r="P31" s="1"/>
      <c r="Q31" s="1"/>
      <c r="R31" s="1"/>
    </row>
    <row r="32" spans="1:21" x14ac:dyDescent="0.2">
      <c r="B32" s="97">
        <v>6</v>
      </c>
      <c r="C32" s="141" t="s">
        <v>222</v>
      </c>
      <c r="D32" s="87">
        <v>8</v>
      </c>
      <c r="E32" s="54">
        <v>0</v>
      </c>
      <c r="F32" s="54"/>
      <c r="G32" s="54"/>
      <c r="H32" s="54"/>
      <c r="I32" s="113">
        <v>4</v>
      </c>
      <c r="J32" s="82">
        <v>1</v>
      </c>
      <c r="K32" s="91">
        <f>(VLOOKUP($D$12,DATOS!$H$13:$I$15,2,FALSE)*Tabla2[VALOR DE CONSENSO (Complejidad)])</f>
        <v>32</v>
      </c>
      <c r="L32" s="86"/>
      <c r="M32" s="117">
        <f>(($D$18*Tabla2[[#This Row],[ESFUERZO EN HH PLANIFICADO]]))</f>
        <v>12.8</v>
      </c>
      <c r="N32" s="131">
        <f>$G$18*Tabla2[[#This Row],[ESFUERZO EN HH REAL]]</f>
        <v>0</v>
      </c>
      <c r="O32" s="133" t="s">
        <v>154</v>
      </c>
      <c r="P32" s="1"/>
      <c r="Q32" s="1"/>
      <c r="R32" s="1"/>
    </row>
    <row r="33" spans="2:18" x14ac:dyDescent="0.2">
      <c r="B33" s="97">
        <v>7</v>
      </c>
      <c r="C33" s="141" t="s">
        <v>223</v>
      </c>
      <c r="D33" s="87">
        <v>0</v>
      </c>
      <c r="E33" s="54">
        <v>4</v>
      </c>
      <c r="F33" s="54"/>
      <c r="G33" s="54"/>
      <c r="H33" s="54"/>
      <c r="I33" s="113">
        <v>2</v>
      </c>
      <c r="J33" s="82">
        <v>1</v>
      </c>
      <c r="K33" s="91">
        <f>(VLOOKUP($D$12,DATOS!$H$13:$I$15,2,FALSE)*Tabla2[VALOR DE CONSENSO (Complejidad)])</f>
        <v>16</v>
      </c>
      <c r="L33" s="86"/>
      <c r="M33" s="117">
        <f>(($D$18*Tabla2[[#This Row],[ESFUERZO EN HH PLANIFICADO]]))</f>
        <v>6.4</v>
      </c>
      <c r="N33" s="131">
        <f>$G$18*Tabla2[[#This Row],[ESFUERZO EN HH REAL]]</f>
        <v>0</v>
      </c>
      <c r="O33" s="133" t="s">
        <v>154</v>
      </c>
      <c r="P33" s="1"/>
      <c r="Q33" s="1"/>
      <c r="R33" s="1"/>
    </row>
    <row r="34" spans="2:18" x14ac:dyDescent="0.2">
      <c r="B34" s="97">
        <v>8</v>
      </c>
      <c r="C34" s="141" t="s">
        <v>224</v>
      </c>
      <c r="D34" s="87">
        <v>4</v>
      </c>
      <c r="E34" s="54">
        <v>0</v>
      </c>
      <c r="F34" s="54"/>
      <c r="G34" s="54"/>
      <c r="H34" s="54"/>
      <c r="I34" s="113">
        <v>3</v>
      </c>
      <c r="J34" s="82">
        <v>1</v>
      </c>
      <c r="K34" s="91">
        <f>(VLOOKUP($D$12,DATOS!$H$13:$I$15,2,FALSE)*Tabla2[VALOR DE CONSENSO (Complejidad)])</f>
        <v>24</v>
      </c>
      <c r="L34" s="86"/>
      <c r="M34" s="117">
        <f>(($D$18*Tabla2[[#This Row],[ESFUERZO EN HH PLANIFICADO]]))</f>
        <v>9.6000000000000014</v>
      </c>
      <c r="N34" s="131">
        <f>$G$18*Tabla2[[#This Row],[ESFUERZO EN HH REAL]]</f>
        <v>0</v>
      </c>
      <c r="O34" s="133" t="s">
        <v>154</v>
      </c>
      <c r="P34" s="1"/>
      <c r="Q34" s="1"/>
      <c r="R34" s="1"/>
    </row>
    <row r="35" spans="2:18" x14ac:dyDescent="0.2">
      <c r="B35" s="97">
        <v>9</v>
      </c>
      <c r="C35" s="141" t="s">
        <v>225</v>
      </c>
      <c r="D35" s="87">
        <v>8</v>
      </c>
      <c r="E35" s="54">
        <v>8</v>
      </c>
      <c r="F35" s="54"/>
      <c r="G35" s="54"/>
      <c r="H35" s="54"/>
      <c r="I35" s="113">
        <v>4</v>
      </c>
      <c r="J35" s="82">
        <v>1</v>
      </c>
      <c r="K35" s="91">
        <f>(VLOOKUP($D$12,DATOS!$H$13:$I$15,2,FALSE)*Tabla2[VALOR DE CONSENSO (Complejidad)])</f>
        <v>32</v>
      </c>
      <c r="L35" s="86"/>
      <c r="M35" s="117">
        <f>(($D$18*Tabla2[[#This Row],[ESFUERZO EN HH PLANIFICADO]]))</f>
        <v>12.8</v>
      </c>
      <c r="N35" s="131">
        <f>$G$18*Tabla2[[#This Row],[ESFUERZO EN HH REAL]]</f>
        <v>0</v>
      </c>
      <c r="O35" s="133" t="s">
        <v>154</v>
      </c>
      <c r="P35" s="1"/>
      <c r="Q35" s="1"/>
      <c r="R35" s="1"/>
    </row>
    <row r="36" spans="2:18" x14ac:dyDescent="0.2">
      <c r="B36" s="97">
        <v>10</v>
      </c>
      <c r="C36" s="141" t="s">
        <v>226</v>
      </c>
      <c r="D36" s="87">
        <v>0</v>
      </c>
      <c r="E36" s="54">
        <v>4</v>
      </c>
      <c r="F36" s="54"/>
      <c r="G36" s="54"/>
      <c r="H36" s="54"/>
      <c r="I36" s="113">
        <v>2</v>
      </c>
      <c r="J36" s="82">
        <v>2</v>
      </c>
      <c r="K36" s="91">
        <f>(VLOOKUP($D$12,DATOS!$H$13:$I$15,2,FALSE)*Tabla2[VALOR DE CONSENSO (Complejidad)])</f>
        <v>16</v>
      </c>
      <c r="L36" s="86"/>
      <c r="M36" s="117">
        <f>(($D$18*Tabla2[[#This Row],[ESFUERZO EN HH PLANIFICADO]]))</f>
        <v>6.4</v>
      </c>
      <c r="N36" s="131">
        <f>$G$18*Tabla2[[#This Row],[ESFUERZO EN HH REAL]]</f>
        <v>0</v>
      </c>
      <c r="O36" s="133" t="s">
        <v>154</v>
      </c>
      <c r="P36" s="1"/>
      <c r="Q36" s="1"/>
      <c r="R36" s="1"/>
    </row>
    <row r="37" spans="2:18" x14ac:dyDescent="0.2">
      <c r="B37" s="97">
        <v>11</v>
      </c>
      <c r="C37" s="141" t="s">
        <v>227</v>
      </c>
      <c r="D37" s="87">
        <v>10</v>
      </c>
      <c r="E37" s="54">
        <v>0</v>
      </c>
      <c r="F37" s="54"/>
      <c r="G37" s="54"/>
      <c r="H37" s="54"/>
      <c r="I37" s="113">
        <v>4</v>
      </c>
      <c r="J37" s="142">
        <v>2</v>
      </c>
      <c r="K37" s="91">
        <f>(VLOOKUP($D$12,DATOS!$H$13:$I$15,2,FALSE)*Tabla2[VALOR DE CONSENSO (Complejidad)])</f>
        <v>32</v>
      </c>
      <c r="L37" s="86"/>
      <c r="M37" s="117">
        <f>(($D$18*Tabla2[[#This Row],[ESFUERZO EN HH PLANIFICADO]]))</f>
        <v>12.8</v>
      </c>
      <c r="N37" s="143">
        <f>$G$18*Tabla2[[#This Row],[ESFUERZO EN HH REAL]]</f>
        <v>0</v>
      </c>
      <c r="O37" s="133" t="s">
        <v>154</v>
      </c>
      <c r="P37" s="1"/>
      <c r="Q37" s="1"/>
      <c r="R37" s="1"/>
    </row>
    <row r="38" spans="2:18" x14ac:dyDescent="0.2">
      <c r="B38" s="97">
        <v>12</v>
      </c>
      <c r="C38" s="141" t="s">
        <v>228</v>
      </c>
      <c r="D38" s="87">
        <v>0</v>
      </c>
      <c r="E38" s="54">
        <v>5</v>
      </c>
      <c r="F38" s="54"/>
      <c r="G38" s="54"/>
      <c r="H38" s="54"/>
      <c r="I38" s="113">
        <v>2</v>
      </c>
      <c r="J38" s="142">
        <v>2</v>
      </c>
      <c r="K38" s="91">
        <f>(VLOOKUP($D$12,DATOS!$H$13:$I$15,2,FALSE)*Tabla2[VALOR DE CONSENSO (Complejidad)])</f>
        <v>16</v>
      </c>
      <c r="L38" s="86"/>
      <c r="M38" s="117">
        <f>(($D$18*Tabla2[[#This Row],[ESFUERZO EN HH PLANIFICADO]]))</f>
        <v>6.4</v>
      </c>
      <c r="N38" s="143">
        <f>$G$18*Tabla2[[#This Row],[ESFUERZO EN HH REAL]]</f>
        <v>0</v>
      </c>
      <c r="O38" s="133" t="s">
        <v>154</v>
      </c>
      <c r="P38" s="1"/>
      <c r="Q38" s="1"/>
      <c r="R38" s="1"/>
    </row>
    <row r="39" spans="2:18" x14ac:dyDescent="0.2">
      <c r="B39" s="97">
        <v>13</v>
      </c>
      <c r="C39" s="141" t="s">
        <v>229</v>
      </c>
      <c r="D39" s="87">
        <v>8</v>
      </c>
      <c r="E39" s="54">
        <v>0</v>
      </c>
      <c r="F39" s="54"/>
      <c r="G39" s="54"/>
      <c r="H39" s="54"/>
      <c r="I39" s="113">
        <v>4</v>
      </c>
      <c r="J39" s="142">
        <v>2</v>
      </c>
      <c r="K39" s="91">
        <f>(VLOOKUP($D$12,DATOS!$H$13:$I$15,2,FALSE)*Tabla2[VALOR DE CONSENSO (Complejidad)])</f>
        <v>32</v>
      </c>
      <c r="L39" s="86"/>
      <c r="M39" s="117">
        <f>(($D$18*Tabla2[[#This Row],[ESFUERZO EN HH PLANIFICADO]]))</f>
        <v>12.8</v>
      </c>
      <c r="N39" s="143">
        <f>$G$18*Tabla2[[#This Row],[ESFUERZO EN HH REAL]]</f>
        <v>0</v>
      </c>
      <c r="O39" s="133" t="s">
        <v>154</v>
      </c>
      <c r="P39" s="1"/>
      <c r="Q39" s="1"/>
      <c r="R39" s="1"/>
    </row>
    <row r="40" spans="2:18" x14ac:dyDescent="0.2">
      <c r="B40" s="97">
        <v>14</v>
      </c>
      <c r="C40" s="141" t="s">
        <v>230</v>
      </c>
      <c r="D40" s="87">
        <v>2</v>
      </c>
      <c r="E40" s="54">
        <v>5</v>
      </c>
      <c r="F40" s="54"/>
      <c r="G40" s="54"/>
      <c r="H40" s="54"/>
      <c r="I40" s="113">
        <v>3</v>
      </c>
      <c r="J40" s="142">
        <v>2</v>
      </c>
      <c r="K40" s="91">
        <f>(VLOOKUP($D$12,DATOS!$H$13:$I$15,2,FALSE)*Tabla2[VALOR DE CONSENSO (Complejidad)])</f>
        <v>24</v>
      </c>
      <c r="L40" s="86"/>
      <c r="M40" s="117">
        <f>(($D$18*Tabla2[[#This Row],[ESFUERZO EN HH PLANIFICADO]]))</f>
        <v>9.6000000000000014</v>
      </c>
      <c r="N40" s="143">
        <f>$G$18*Tabla2[[#This Row],[ESFUERZO EN HH REAL]]</f>
        <v>0</v>
      </c>
      <c r="O40" s="133" t="s">
        <v>154</v>
      </c>
      <c r="P40" s="1"/>
      <c r="Q40" s="1"/>
      <c r="R40" s="1"/>
    </row>
    <row r="41" spans="2:18" x14ac:dyDescent="0.2">
      <c r="B41" s="97">
        <v>15</v>
      </c>
      <c r="C41" s="141" t="s">
        <v>231</v>
      </c>
      <c r="D41" s="87">
        <v>8</v>
      </c>
      <c r="E41" s="54">
        <v>0</v>
      </c>
      <c r="F41" s="54"/>
      <c r="G41" s="54"/>
      <c r="H41" s="54"/>
      <c r="I41" s="113">
        <v>5</v>
      </c>
      <c r="J41" s="142">
        <v>2</v>
      </c>
      <c r="K41" s="91">
        <f>(VLOOKUP($D$12,DATOS!$H$13:$I$15,2,FALSE)*Tabla2[VALOR DE CONSENSO (Complejidad)])</f>
        <v>40</v>
      </c>
      <c r="L41" s="86"/>
      <c r="M41" s="117">
        <f>(($D$18*Tabla2[[#This Row],[ESFUERZO EN HH PLANIFICADO]]))</f>
        <v>16</v>
      </c>
      <c r="N41" s="143">
        <f>$G$18*Tabla2[[#This Row],[ESFUERZO EN HH REAL]]</f>
        <v>0</v>
      </c>
      <c r="O41" s="133" t="s">
        <v>154</v>
      </c>
      <c r="P41" s="1"/>
      <c r="Q41" s="1"/>
      <c r="R41" s="1"/>
    </row>
    <row r="42" spans="2:18" x14ac:dyDescent="0.2">
      <c r="B42" s="97">
        <v>16</v>
      </c>
      <c r="C42" s="141" t="s">
        <v>225</v>
      </c>
      <c r="D42" s="87">
        <v>12</v>
      </c>
      <c r="E42" s="54">
        <v>12</v>
      </c>
      <c r="F42" s="54"/>
      <c r="G42" s="54"/>
      <c r="H42" s="54"/>
      <c r="I42" s="113">
        <v>4</v>
      </c>
      <c r="J42" s="142">
        <v>2</v>
      </c>
      <c r="K42" s="91">
        <f>(VLOOKUP($D$12,DATOS!$H$13:$I$15,2,FALSE)*Tabla2[VALOR DE CONSENSO (Complejidad)])</f>
        <v>32</v>
      </c>
      <c r="L42" s="86"/>
      <c r="M42" s="117">
        <f>(($D$18*Tabla2[[#This Row],[ESFUERZO EN HH PLANIFICADO]]))</f>
        <v>12.8</v>
      </c>
      <c r="N42" s="143">
        <f>$G$18*Tabla2[[#This Row],[ESFUERZO EN HH REAL]]</f>
        <v>0</v>
      </c>
      <c r="O42" s="133" t="s">
        <v>154</v>
      </c>
      <c r="P42" s="1"/>
      <c r="Q42" s="1"/>
      <c r="R42" s="1"/>
    </row>
    <row r="43" spans="2:18" x14ac:dyDescent="0.2">
      <c r="B43" s="97">
        <v>17</v>
      </c>
      <c r="C43" s="141" t="s">
        <v>170</v>
      </c>
      <c r="D43" s="87">
        <v>1</v>
      </c>
      <c r="E43" s="54">
        <v>1</v>
      </c>
      <c r="F43" s="54"/>
      <c r="G43" s="54"/>
      <c r="H43" s="54"/>
      <c r="I43" s="113">
        <v>3</v>
      </c>
      <c r="J43" s="142">
        <v>3</v>
      </c>
      <c r="K43" s="91">
        <f>(VLOOKUP($D$12,DATOS!$H$13:$I$15,2,FALSE)*Tabla2[VALOR DE CONSENSO (Complejidad)])</f>
        <v>24</v>
      </c>
      <c r="L43" s="86"/>
      <c r="M43" s="117">
        <f>(($D$18*Tabla2[[#This Row],[ESFUERZO EN HH PLANIFICADO]]))</f>
        <v>9.6000000000000014</v>
      </c>
      <c r="N43" s="143">
        <f>$G$18*Tabla2[[#This Row],[ESFUERZO EN HH REAL]]</f>
        <v>0</v>
      </c>
      <c r="O43" s="133" t="s">
        <v>154</v>
      </c>
      <c r="P43" s="1"/>
      <c r="Q43" s="1"/>
      <c r="R43" s="1"/>
    </row>
    <row r="44" spans="2:18" x14ac:dyDescent="0.2">
      <c r="B44" s="97">
        <v>18</v>
      </c>
      <c r="C44" s="141" t="s">
        <v>171</v>
      </c>
      <c r="D44" s="87">
        <v>2</v>
      </c>
      <c r="E44" s="54">
        <v>1.5</v>
      </c>
      <c r="F44" s="54"/>
      <c r="G44" s="54"/>
      <c r="H44" s="54"/>
      <c r="I44" s="113">
        <v>3</v>
      </c>
      <c r="J44" s="142">
        <v>3</v>
      </c>
      <c r="K44" s="91">
        <f>(VLOOKUP($D$12,DATOS!$H$13:$I$15,2,FALSE)*Tabla2[VALOR DE CONSENSO (Complejidad)])</f>
        <v>24</v>
      </c>
      <c r="L44" s="86"/>
      <c r="M44" s="117">
        <f>(($D$18*Tabla2[[#This Row],[ESFUERZO EN HH PLANIFICADO]]))</f>
        <v>9.6000000000000014</v>
      </c>
      <c r="N44" s="143">
        <f>$G$18*Tabla2[[#This Row],[ESFUERZO EN HH REAL]]</f>
        <v>0</v>
      </c>
      <c r="O44" s="133" t="s">
        <v>154</v>
      </c>
      <c r="P44" s="1"/>
      <c r="Q44" s="1"/>
      <c r="R44" s="1"/>
    </row>
    <row r="45" spans="2:18" ht="12.75" thickBot="1" x14ac:dyDescent="0.25">
      <c r="B45" s="98">
        <v>19</v>
      </c>
      <c r="C45" s="141" t="s">
        <v>211</v>
      </c>
      <c r="D45" s="88">
        <v>8</v>
      </c>
      <c r="E45" s="89">
        <v>8</v>
      </c>
      <c r="F45" s="89"/>
      <c r="G45" s="89"/>
      <c r="H45" s="89"/>
      <c r="I45" s="113">
        <v>5</v>
      </c>
      <c r="J45" s="83">
        <v>4</v>
      </c>
      <c r="K45" s="91">
        <f>(VLOOKUP($D$12,DATOS!$H$13:$I$15,2,FALSE)*Tabla2[VALOR DE CONSENSO (Complejidad)])</f>
        <v>40</v>
      </c>
      <c r="L45" s="86"/>
      <c r="M45" s="117">
        <f>(($D$18*Tabla2[[#This Row],[ESFUERZO EN HH PLANIFICADO]]))</f>
        <v>16</v>
      </c>
      <c r="N45" s="132">
        <f>$G$18*Tabla2[[#This Row],[ESFUERZO EN HH REAL]]</f>
        <v>0</v>
      </c>
      <c r="O45" s="133" t="s">
        <v>154</v>
      </c>
      <c r="P45" s="1"/>
      <c r="Q45" s="1"/>
      <c r="R45" s="1"/>
    </row>
    <row r="46" spans="2:18" ht="12.75" thickBot="1" x14ac:dyDescent="0.25">
      <c r="I46" s="130">
        <f>SUBTOTAL(109,Tabla2[VALOR DE CONSENSO (Complejidad)])</f>
        <v>61</v>
      </c>
      <c r="J46" s="130">
        <f>SUBTOTAL(109,Tabla2[N° SPRINT])</f>
        <v>33</v>
      </c>
      <c r="K46" s="110">
        <f>SUBTOTAL(109,Tabla2[ESFUERZO EN HH PLANIFICADO])</f>
        <v>488</v>
      </c>
      <c r="L46" s="111">
        <f>SUM(Tabla2[ESFUERZO EN HH REAL])</f>
        <v>0</v>
      </c>
      <c r="M46" s="118">
        <f>SUBTOTAL(109,Tabla2[COSTO TOTAL PLANIFICADO])</f>
        <v>195.20000000000002</v>
      </c>
      <c r="N46" s="123">
        <f>SUBTOTAL(109,Tabla2[COSTO TOTAL REAL])</f>
        <v>0</v>
      </c>
    </row>
    <row r="47" spans="2:18" ht="12.75" thickBot="1" x14ac:dyDescent="0.25"/>
    <row r="48" spans="2:18" ht="15.75" customHeight="1" thickBot="1" x14ac:dyDescent="0.25">
      <c r="B48" s="194" t="s">
        <v>78</v>
      </c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6"/>
    </row>
    <row r="49" spans="2:15" ht="36" customHeight="1" x14ac:dyDescent="0.2">
      <c r="B49" s="96" t="s">
        <v>2</v>
      </c>
      <c r="C49" s="179" t="s">
        <v>84</v>
      </c>
      <c r="D49" s="180"/>
      <c r="E49" s="181"/>
      <c r="F49" s="188" t="s">
        <v>148</v>
      </c>
      <c r="G49" s="189"/>
      <c r="H49" s="190"/>
      <c r="I49" s="104" t="s">
        <v>85</v>
      </c>
      <c r="J49" s="100" t="s">
        <v>161</v>
      </c>
      <c r="K49" s="104" t="s">
        <v>86</v>
      </c>
      <c r="L49" s="94" t="s">
        <v>162</v>
      </c>
      <c r="M49" s="99" t="s">
        <v>144</v>
      </c>
      <c r="N49" s="100" t="s">
        <v>145</v>
      </c>
      <c r="O49" s="94" t="s">
        <v>163</v>
      </c>
    </row>
    <row r="50" spans="2:15" x14ac:dyDescent="0.2">
      <c r="B50" s="97">
        <v>1</v>
      </c>
      <c r="C50" s="182"/>
      <c r="D50" s="183"/>
      <c r="E50" s="184"/>
      <c r="F50" s="191"/>
      <c r="G50" s="192"/>
      <c r="H50" s="193"/>
      <c r="I50" s="57"/>
      <c r="J50" s="119"/>
      <c r="K50" s="57" t="s">
        <v>96</v>
      </c>
      <c r="L50" s="121">
        <f>IF(K50="CON IVA",(J50*19%)+J50,IF(K50="SIN IVA",J50,"0"))</f>
        <v>0</v>
      </c>
      <c r="M50" s="125"/>
      <c r="N50" s="126"/>
      <c r="O50" s="129"/>
    </row>
    <row r="51" spans="2:15" x14ac:dyDescent="0.2">
      <c r="B51" s="97">
        <v>2</v>
      </c>
      <c r="C51" s="182"/>
      <c r="D51" s="183"/>
      <c r="E51" s="184"/>
      <c r="F51" s="191"/>
      <c r="G51" s="192"/>
      <c r="H51" s="193"/>
      <c r="I51" s="57"/>
      <c r="J51" s="119"/>
      <c r="K51" s="57"/>
      <c r="L51" s="121" t="str">
        <f t="shared" ref="L51:L53" si="0">IF(K51="CON IVA",(J51*19%)+J51,IF(K51="SIN IVA",J51,"0"))</f>
        <v>0</v>
      </c>
      <c r="M51" s="125"/>
      <c r="N51" s="126"/>
      <c r="O51" s="129"/>
    </row>
    <row r="52" spans="2:15" x14ac:dyDescent="0.2">
      <c r="B52" s="97">
        <v>3</v>
      </c>
      <c r="C52" s="182"/>
      <c r="D52" s="183"/>
      <c r="E52" s="184"/>
      <c r="F52" s="191"/>
      <c r="G52" s="192"/>
      <c r="H52" s="193"/>
      <c r="I52" s="57"/>
      <c r="J52" s="119"/>
      <c r="K52" s="57"/>
      <c r="L52" s="121" t="str">
        <f t="shared" si="0"/>
        <v>0</v>
      </c>
      <c r="M52" s="125"/>
      <c r="N52" s="126"/>
      <c r="O52" s="129"/>
    </row>
    <row r="53" spans="2:15" x14ac:dyDescent="0.2">
      <c r="B53" s="97">
        <v>4</v>
      </c>
      <c r="C53" s="182"/>
      <c r="D53" s="183"/>
      <c r="E53" s="184"/>
      <c r="F53" s="191"/>
      <c r="G53" s="192"/>
      <c r="H53" s="193"/>
      <c r="I53" s="57"/>
      <c r="J53" s="119"/>
      <c r="K53" s="57"/>
      <c r="L53" s="121" t="str">
        <f t="shared" si="0"/>
        <v>0</v>
      </c>
      <c r="M53" s="125"/>
      <c r="N53" s="126"/>
      <c r="O53" s="129"/>
    </row>
    <row r="54" spans="2:15" ht="12.75" thickBot="1" x14ac:dyDescent="0.25">
      <c r="B54" s="98">
        <v>5</v>
      </c>
      <c r="C54" s="185"/>
      <c r="D54" s="186"/>
      <c r="E54" s="187"/>
      <c r="F54" s="176"/>
      <c r="G54" s="177"/>
      <c r="H54" s="178"/>
      <c r="I54" s="95"/>
      <c r="J54" s="120"/>
      <c r="K54" s="95"/>
      <c r="L54" s="121" t="str">
        <f>IF(K54="CON IVA",(J54*19%)+J54,IF(K54="SIN IVA",J54,"0"))</f>
        <v>0</v>
      </c>
      <c r="M54" s="127"/>
      <c r="N54" s="128"/>
      <c r="O54" s="129"/>
    </row>
    <row r="55" spans="2:15" ht="12.75" thickBot="1" x14ac:dyDescent="0.25">
      <c r="B55" s="25"/>
      <c r="I55" s="2"/>
      <c r="J55" s="2"/>
      <c r="K55" s="58"/>
      <c r="L55" s="122">
        <f>SUM(L50:L54)</f>
        <v>0</v>
      </c>
      <c r="O55" s="122">
        <f>SUM(O50:O54)</f>
        <v>0</v>
      </c>
    </row>
    <row r="56" spans="2:15" x14ac:dyDescent="0.2">
      <c r="B56" s="25"/>
    </row>
    <row r="57" spans="2:15" ht="15.75" customHeight="1" thickBot="1" x14ac:dyDescent="0.25">
      <c r="B57" s="148" t="s">
        <v>13</v>
      </c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</row>
    <row r="58" spans="2:15" ht="15" customHeight="1" x14ac:dyDescent="0.2">
      <c r="B58" s="124" t="s">
        <v>2</v>
      </c>
      <c r="C58" s="145" t="s">
        <v>54</v>
      </c>
      <c r="D58" s="146"/>
      <c r="E58" s="146"/>
      <c r="F58" s="146"/>
      <c r="G58" s="146"/>
      <c r="H58" s="147"/>
      <c r="I58" s="145" t="s">
        <v>53</v>
      </c>
      <c r="J58" s="146"/>
      <c r="K58" s="146"/>
      <c r="L58" s="146"/>
      <c r="M58" s="147"/>
      <c r="N58" s="145" t="s">
        <v>55</v>
      </c>
      <c r="O58" s="146"/>
    </row>
    <row r="59" spans="2:15" ht="23.25" customHeight="1" x14ac:dyDescent="0.2">
      <c r="B59" s="74">
        <v>1</v>
      </c>
      <c r="C59" s="151" t="s">
        <v>71</v>
      </c>
      <c r="D59" s="151"/>
      <c r="E59" s="151"/>
      <c r="F59" s="151"/>
      <c r="G59" s="151"/>
      <c r="H59" s="151"/>
      <c r="I59" s="150" t="str">
        <f>IFERROR(VLOOKUP(C59,RIESGOS!C40:H49,5,FALSE),"-")</f>
        <v xml:space="preserve">Al contratar a proveedor se pondrá como condición no negociable que todo riesgo o perjuicio surgido desde el mismo, deberá ser solucionado o compensado en su totalidad por ellos mismos, y reducir al mínimo posible los daños que puedan causar. </v>
      </c>
      <c r="J59" s="150"/>
      <c r="K59" s="150"/>
      <c r="L59" s="150"/>
      <c r="M59" s="150"/>
      <c r="N59" s="152" t="s">
        <v>61</v>
      </c>
      <c r="O59" s="152"/>
    </row>
    <row r="60" spans="2:15" ht="23.25" customHeight="1" x14ac:dyDescent="0.2">
      <c r="B60" s="74">
        <v>2</v>
      </c>
      <c r="C60" s="151" t="s">
        <v>135</v>
      </c>
      <c r="D60" s="151"/>
      <c r="E60" s="151"/>
      <c r="F60" s="151"/>
      <c r="G60" s="151"/>
      <c r="H60" s="151"/>
      <c r="I60" s="150" t="str">
        <f>IFERROR(VLOOKUP(C60,RIESGOS!C41:H50,5,FALSE),"-")</f>
        <v>Planificación de personal; revisión periódica de lo planificado;  priorización de requerimientos.</v>
      </c>
      <c r="J60" s="150"/>
      <c r="K60" s="150"/>
      <c r="L60" s="150"/>
      <c r="M60" s="150"/>
      <c r="N60" s="152" t="s">
        <v>61</v>
      </c>
      <c r="O60" s="152"/>
    </row>
    <row r="61" spans="2:15" ht="23.25" customHeight="1" x14ac:dyDescent="0.2">
      <c r="B61" s="74">
        <v>3</v>
      </c>
      <c r="C61" s="151" t="s">
        <v>133</v>
      </c>
      <c r="D61" s="151"/>
      <c r="E61" s="151"/>
      <c r="F61" s="151"/>
      <c r="G61" s="151"/>
      <c r="H61" s="151"/>
      <c r="I61" s="150" t="str">
        <f>IFERROR(VLOOKUP(C61,RIESGOS!C42:H51,5,FALSE),"-")</f>
        <v>Capacitación Temprana, Asesoría por Expertos</v>
      </c>
      <c r="J61" s="150"/>
      <c r="K61" s="150"/>
      <c r="L61" s="150"/>
      <c r="M61" s="150"/>
      <c r="N61" s="152" t="s">
        <v>61</v>
      </c>
      <c r="O61" s="152"/>
    </row>
    <row r="62" spans="2:15" ht="23.25" customHeight="1" x14ac:dyDescent="0.2">
      <c r="B62" s="74">
        <v>4</v>
      </c>
      <c r="C62" s="151" t="s">
        <v>76</v>
      </c>
      <c r="D62" s="151"/>
      <c r="E62" s="151"/>
      <c r="F62" s="151"/>
      <c r="G62" s="151"/>
      <c r="H62" s="151"/>
      <c r="I62" s="150" t="str">
        <f>IFERROR(VLOOKUP(C62,RIESGOS!C43:H52,5,FALSE),"-")</f>
        <v>Analizar impacto en proyetco o mantención; evaluar posibilidad de capacitaciones o asesoría por parte de un externo.</v>
      </c>
      <c r="J62" s="150"/>
      <c r="K62" s="150"/>
      <c r="L62" s="150"/>
      <c r="M62" s="150"/>
      <c r="N62" s="152" t="s">
        <v>61</v>
      </c>
      <c r="O62" s="152"/>
    </row>
    <row r="63" spans="2:15" ht="23.25" customHeight="1" x14ac:dyDescent="0.2">
      <c r="B63" s="74">
        <v>5</v>
      </c>
      <c r="C63" s="153" t="s">
        <v>165</v>
      </c>
      <c r="D63" s="154"/>
      <c r="E63" s="154"/>
      <c r="F63" s="154"/>
      <c r="G63" s="154"/>
      <c r="H63" s="155"/>
      <c r="I63" s="150" t="s">
        <v>164</v>
      </c>
      <c r="J63" s="150"/>
      <c r="K63" s="150"/>
      <c r="L63" s="150"/>
      <c r="M63" s="150"/>
      <c r="N63" s="152" t="s">
        <v>61</v>
      </c>
      <c r="O63" s="152"/>
    </row>
  </sheetData>
  <sheetProtection insertRows="0"/>
  <mergeCells count="70">
    <mergeCell ref="B48:O48"/>
    <mergeCell ref="K25:L25"/>
    <mergeCell ref="M25:N25"/>
    <mergeCell ref="B12:C12"/>
    <mergeCell ref="B15:C15"/>
    <mergeCell ref="B16:C16"/>
    <mergeCell ref="D14:F14"/>
    <mergeCell ref="D15:F15"/>
    <mergeCell ref="D16:F16"/>
    <mergeCell ref="D17:F17"/>
    <mergeCell ref="D25:I25"/>
    <mergeCell ref="B18:C18"/>
    <mergeCell ref="B20:C20"/>
    <mergeCell ref="B21:C21"/>
    <mergeCell ref="B22:C22"/>
    <mergeCell ref="G22:I22"/>
    <mergeCell ref="F54:H54"/>
    <mergeCell ref="C49:E49"/>
    <mergeCell ref="C50:E50"/>
    <mergeCell ref="C51:E51"/>
    <mergeCell ref="C52:E52"/>
    <mergeCell ref="C53:E53"/>
    <mergeCell ref="C54:E54"/>
    <mergeCell ref="F49:H49"/>
    <mergeCell ref="F50:H50"/>
    <mergeCell ref="F51:H51"/>
    <mergeCell ref="F52:H52"/>
    <mergeCell ref="F53:H53"/>
    <mergeCell ref="D18:F18"/>
    <mergeCell ref="D19:F19"/>
    <mergeCell ref="G15:I15"/>
    <mergeCell ref="D10:I10"/>
    <mergeCell ref="D11:I11"/>
    <mergeCell ref="D12:I12"/>
    <mergeCell ref="G14:I14"/>
    <mergeCell ref="D20:F20"/>
    <mergeCell ref="D21:F21"/>
    <mergeCell ref="D22:F22"/>
    <mergeCell ref="B7:O7"/>
    <mergeCell ref="L10:M10"/>
    <mergeCell ref="N10:O10"/>
    <mergeCell ref="G20:I20"/>
    <mergeCell ref="G21:I21"/>
    <mergeCell ref="B10:C10"/>
    <mergeCell ref="B17:C17"/>
    <mergeCell ref="B19:C19"/>
    <mergeCell ref="B11:C11"/>
    <mergeCell ref="G16:I16"/>
    <mergeCell ref="G17:I17"/>
    <mergeCell ref="G18:I18"/>
    <mergeCell ref="G19:I19"/>
    <mergeCell ref="N63:O63"/>
    <mergeCell ref="I59:M59"/>
    <mergeCell ref="I60:M60"/>
    <mergeCell ref="C59:H59"/>
    <mergeCell ref="C60:H60"/>
    <mergeCell ref="I63:M63"/>
    <mergeCell ref="C63:H63"/>
    <mergeCell ref="N59:O59"/>
    <mergeCell ref="N60:O60"/>
    <mergeCell ref="N61:O61"/>
    <mergeCell ref="N62:O62"/>
    <mergeCell ref="C58:H58"/>
    <mergeCell ref="I58:M58"/>
    <mergeCell ref="B57:O57"/>
    <mergeCell ref="I61:M61"/>
    <mergeCell ref="I62:M62"/>
    <mergeCell ref="C61:H61"/>
    <mergeCell ref="C62:H62"/>
    <mergeCell ref="N58:O58"/>
  </mergeCells>
  <conditionalFormatting sqref="M27:M45">
    <cfRule type="expression" priority="1">
      <formula>EXACT($M$27&gt;=0,"UF")</formula>
    </cfRule>
  </conditionalFormatting>
  <dataValidations count="1">
    <dataValidation type="list" allowBlank="1" showInputMessage="1" showErrorMessage="1" sqref="K50:K54">
      <formula1>"CON IVA, SIN IVA"</formula1>
    </dataValidation>
  </dataValidations>
  <pageMargins left="0.7" right="0.7" top="0.75" bottom="0.75" header="0.3" footer="0.3"/>
  <pageSetup scale="38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DATOS!$H$13:$H$15</xm:f>
          </x14:formula1>
          <xm:sqref>D12</xm:sqref>
        </x14:dataValidation>
        <x14:dataValidation type="list" allowBlank="1" showInputMessage="1" showErrorMessage="1">
          <x14:formula1>
            <xm:f>RIESGOS!$C$40:$C$49</xm:f>
          </x14:formula1>
          <xm:sqref>C59:C62</xm:sqref>
        </x14:dataValidation>
        <x14:dataValidation type="list" allowBlank="1" showInputMessage="1" showErrorMessage="1">
          <x14:formula1>
            <xm:f>DATOS!$C$11:$C$13</xm:f>
          </x14:formula1>
          <xm:sqref>O27:O45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7:Q47"/>
  <sheetViews>
    <sheetView showGridLines="0" view="pageBreakPreview" topLeftCell="A4" zoomScaleNormal="100" zoomScaleSheetLayoutView="100" workbookViewId="0">
      <selection activeCell="B41" sqref="B41:I41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15" t="s">
        <v>181</v>
      </c>
      <c r="C7" s="215"/>
      <c r="D7" s="215"/>
      <c r="E7" s="215"/>
      <c r="F7" s="215"/>
      <c r="G7" s="215"/>
      <c r="H7" s="215"/>
      <c r="I7" s="215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IF(Q31&gt;0,"ERROR","OK")</f>
        <v>OK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14" t="s">
        <v>157</v>
      </c>
      <c r="H12" s="13" t="s">
        <v>158</v>
      </c>
      <c r="I12" s="13" t="s">
        <v>159</v>
      </c>
      <c r="J12" s="51" t="s">
        <v>40</v>
      </c>
      <c r="K12" s="29" t="s">
        <v>49</v>
      </c>
      <c r="L12" s="29" t="s">
        <v>167</v>
      </c>
      <c r="O12" s="36" t="s">
        <v>50</v>
      </c>
      <c r="P12" s="36" t="s">
        <v>51</v>
      </c>
      <c r="Q12" s="36" t="s">
        <v>52</v>
      </c>
    </row>
    <row r="13" spans="2:17" x14ac:dyDescent="0.2">
      <c r="C13" s="140">
        <v>1</v>
      </c>
      <c r="D13" s="60">
        <v>1</v>
      </c>
      <c r="E13" s="61" t="s">
        <v>170</v>
      </c>
      <c r="F13" s="61"/>
      <c r="G13" s="144">
        <f>'SPRINT 0'!K27</f>
        <v>24</v>
      </c>
      <c r="H13" s="140"/>
      <c r="I13" s="62" t="s">
        <v>154</v>
      </c>
      <c r="J13" s="33">
        <v>1</v>
      </c>
      <c r="K13" s="34">
        <v>1</v>
      </c>
      <c r="L13" s="34"/>
      <c r="O13" s="64">
        <f>VLOOKUP(J13,'SPRINT 0'!B27:K45,10,FALSE)</f>
        <v>24</v>
      </c>
      <c r="P13" s="64">
        <f>GETPIVOTDATA("Suma de HH PLANIFICADA",$J$12,"N° REQM",J13)</f>
        <v>0</v>
      </c>
      <c r="Q13" s="64">
        <f>IF(O13&gt;=P13,0,1)</f>
        <v>0</v>
      </c>
    </row>
    <row r="14" spans="2:17" x14ac:dyDescent="0.2">
      <c r="C14" s="140">
        <v>2</v>
      </c>
      <c r="D14" s="60">
        <v>2</v>
      </c>
      <c r="E14" s="61" t="s">
        <v>171</v>
      </c>
      <c r="F14" s="61"/>
      <c r="G14" s="144">
        <f>'SPRINT 0'!K28</f>
        <v>16</v>
      </c>
      <c r="H14" s="140"/>
      <c r="I14" s="62" t="s">
        <v>154</v>
      </c>
      <c r="J14" s="33">
        <v>2</v>
      </c>
      <c r="K14" s="34">
        <v>1</v>
      </c>
      <c r="L14" s="34"/>
      <c r="O14" s="64">
        <f>VLOOKUP(J14,'SPRINT 0'!B28:K46,10,FALSE)</f>
        <v>16</v>
      </c>
      <c r="P14" s="64">
        <f t="shared" ref="P14:P30" si="0">GETPIVOTDATA("Suma de HH PLANIFICADA",$J$12,"N° REQM",J14)</f>
        <v>0</v>
      </c>
      <c r="Q14" s="64">
        <f>IF(O14&gt;=P14,0,1)</f>
        <v>0</v>
      </c>
    </row>
    <row r="15" spans="2:17" x14ac:dyDescent="0.2">
      <c r="C15" s="140">
        <v>3</v>
      </c>
      <c r="D15" s="60">
        <v>3</v>
      </c>
      <c r="E15" s="61" t="s">
        <v>174</v>
      </c>
      <c r="F15" s="61"/>
      <c r="G15" s="144">
        <f>'SPRINT 0'!K29</f>
        <v>16</v>
      </c>
      <c r="H15" s="140"/>
      <c r="I15" s="62" t="s">
        <v>154</v>
      </c>
      <c r="J15" s="33">
        <v>3</v>
      </c>
      <c r="K15" s="34">
        <v>2</v>
      </c>
      <c r="L15" s="34"/>
      <c r="O15" s="64">
        <f>VLOOKUP(J15,'SPRINT 0'!B29:K47,10,FALSE)</f>
        <v>16</v>
      </c>
      <c r="P15" s="64">
        <f t="shared" si="0"/>
        <v>0</v>
      </c>
      <c r="Q15" s="64">
        <f>IF(O15&gt;=P15,0,1)</f>
        <v>0</v>
      </c>
    </row>
    <row r="16" spans="2:17" x14ac:dyDescent="0.2">
      <c r="C16" s="140">
        <v>3</v>
      </c>
      <c r="D16" s="60">
        <v>4</v>
      </c>
      <c r="E16" s="61" t="s">
        <v>175</v>
      </c>
      <c r="F16" s="61"/>
      <c r="G16" s="144">
        <f>'SPRINT 0'!K30</f>
        <v>24</v>
      </c>
      <c r="H16" s="140"/>
      <c r="I16" s="62" t="s">
        <v>154</v>
      </c>
      <c r="J16" s="33">
        <v>4</v>
      </c>
      <c r="K16" s="34">
        <v>2</v>
      </c>
      <c r="L16" s="34"/>
      <c r="O16" s="64">
        <f>VLOOKUP(J16,'SPRINT 0'!B30:K48,10,FALSE)</f>
        <v>24</v>
      </c>
      <c r="P16" s="64">
        <f t="shared" si="0"/>
        <v>0</v>
      </c>
      <c r="Q16" s="64">
        <f t="shared" ref="Q16:Q30" si="1">IF(O16&gt;=P16,0,1)</f>
        <v>0</v>
      </c>
    </row>
    <row r="17" spans="3:17" x14ac:dyDescent="0.2">
      <c r="C17" s="140">
        <v>4</v>
      </c>
      <c r="D17" s="60">
        <v>5</v>
      </c>
      <c r="E17" s="61" t="s">
        <v>176</v>
      </c>
      <c r="F17" s="61"/>
      <c r="G17" s="144">
        <f>'SPRINT 0'!K31</f>
        <v>24</v>
      </c>
      <c r="H17" s="140"/>
      <c r="I17" s="62" t="s">
        <v>154</v>
      </c>
      <c r="J17" s="33" t="s">
        <v>166</v>
      </c>
      <c r="K17" s="34"/>
      <c r="L17" s="34"/>
      <c r="O17" s="64" t="e">
        <f>VLOOKUP(J17,'SPRINT 0'!B31:K49,10,FALSE)</f>
        <v>#N/A</v>
      </c>
      <c r="P17" s="64">
        <f t="shared" si="0"/>
        <v>0</v>
      </c>
      <c r="Q17" s="64" t="e">
        <f t="shared" si="1"/>
        <v>#N/A</v>
      </c>
    </row>
    <row r="18" spans="3:17" x14ac:dyDescent="0.2">
      <c r="C18" s="140">
        <v>4</v>
      </c>
      <c r="D18" s="60">
        <v>6</v>
      </c>
      <c r="E18" s="61" t="s">
        <v>172</v>
      </c>
      <c r="F18" s="61"/>
      <c r="G18" s="144">
        <f>'SPRINT 0'!K32</f>
        <v>32</v>
      </c>
      <c r="H18" s="140"/>
      <c r="I18" s="62" t="s">
        <v>154</v>
      </c>
      <c r="J18" s="33">
        <v>5</v>
      </c>
      <c r="K18" s="34">
        <v>2</v>
      </c>
      <c r="L18" s="34"/>
      <c r="O18" s="64" t="e">
        <f>VLOOKUP(J18,'SPRINT 0'!B32:K50,10,FALSE)</f>
        <v>#N/A</v>
      </c>
      <c r="P18" s="64">
        <f t="shared" si="0"/>
        <v>0</v>
      </c>
      <c r="Q18" s="64" t="e">
        <f t="shared" si="1"/>
        <v>#N/A</v>
      </c>
    </row>
    <row r="19" spans="3:17" x14ac:dyDescent="0.2">
      <c r="C19" s="140">
        <v>5</v>
      </c>
      <c r="D19" s="60">
        <v>7</v>
      </c>
      <c r="E19" s="61" t="s">
        <v>177</v>
      </c>
      <c r="F19" s="61"/>
      <c r="G19" s="144">
        <f>'SPRINT 0'!K33</f>
        <v>16</v>
      </c>
      <c r="H19" s="140"/>
      <c r="I19" s="62" t="s">
        <v>154</v>
      </c>
      <c r="J19" s="33">
        <v>6</v>
      </c>
      <c r="K19" s="34">
        <v>2</v>
      </c>
      <c r="L19" s="34"/>
      <c r="O19" s="64" t="e">
        <f>VLOOKUP(J19,'SPRINT 0'!B33:K51,10,FALSE)</f>
        <v>#N/A</v>
      </c>
      <c r="P19" s="64">
        <f t="shared" si="0"/>
        <v>0</v>
      </c>
      <c r="Q19" s="64" t="e">
        <f t="shared" si="1"/>
        <v>#N/A</v>
      </c>
    </row>
    <row r="20" spans="3:17" x14ac:dyDescent="0.2">
      <c r="C20" s="140">
        <v>5</v>
      </c>
      <c r="D20" s="60">
        <v>8</v>
      </c>
      <c r="E20" s="61" t="s">
        <v>173</v>
      </c>
      <c r="F20" s="61"/>
      <c r="G20" s="144">
        <f>'SPRINT 0'!K34</f>
        <v>24</v>
      </c>
      <c r="H20" s="140"/>
      <c r="I20" s="62" t="s">
        <v>154</v>
      </c>
      <c r="J20" s="33">
        <v>7</v>
      </c>
      <c r="K20" s="34">
        <v>1</v>
      </c>
      <c r="L20" s="34"/>
      <c r="O20" s="64" t="e">
        <f>VLOOKUP(J20,'SPRINT 0'!B34:K52,10,FALSE)</f>
        <v>#N/A</v>
      </c>
      <c r="P20" s="64">
        <f t="shared" si="0"/>
        <v>0</v>
      </c>
      <c r="Q20" s="64" t="e">
        <f t="shared" si="1"/>
        <v>#N/A</v>
      </c>
    </row>
    <row r="21" spans="3:17" x14ac:dyDescent="0.2">
      <c r="C21" s="140">
        <v>6</v>
      </c>
      <c r="D21" s="60">
        <v>9</v>
      </c>
      <c r="E21" s="61" t="s">
        <v>179</v>
      </c>
      <c r="F21" s="61"/>
      <c r="G21" s="144">
        <f>'SPRINT 0'!K35</f>
        <v>32</v>
      </c>
      <c r="H21" s="140"/>
      <c r="I21" s="62" t="s">
        <v>154</v>
      </c>
      <c r="J21" s="33" t="s">
        <v>41</v>
      </c>
      <c r="K21" s="34">
        <v>11</v>
      </c>
      <c r="L21" s="34"/>
      <c r="O21" s="64" t="e">
        <f>VLOOKUP(J21,'SPRINT 0'!B35:K53,10,FALSE)</f>
        <v>#N/A</v>
      </c>
      <c r="P21" s="64" t="e">
        <f t="shared" si="0"/>
        <v>#REF!</v>
      </c>
      <c r="Q21" s="64" t="e">
        <f t="shared" si="1"/>
        <v>#N/A</v>
      </c>
    </row>
    <row r="22" spans="3:17" x14ac:dyDescent="0.2">
      <c r="C22" s="140">
        <v>7</v>
      </c>
      <c r="D22" s="60">
        <v>10</v>
      </c>
      <c r="E22" s="61" t="s">
        <v>178</v>
      </c>
      <c r="F22" s="61"/>
      <c r="G22" s="144">
        <f>'SPRINT 0'!K36</f>
        <v>16</v>
      </c>
      <c r="H22" s="140"/>
      <c r="I22" s="62" t="s">
        <v>154</v>
      </c>
      <c r="J22" s="33"/>
      <c r="K22" s="34"/>
      <c r="L22" s="34"/>
      <c r="O22" s="64" t="e">
        <f>VLOOKUP(J22,'SPRINT 0'!B36:K54,10,FALSE)</f>
        <v>#N/A</v>
      </c>
      <c r="P22" s="64" t="e">
        <f t="shared" si="0"/>
        <v>#REF!</v>
      </c>
      <c r="Q22" s="64" t="e">
        <f t="shared" si="1"/>
        <v>#N/A</v>
      </c>
    </row>
    <row r="23" spans="3:17" x14ac:dyDescent="0.2">
      <c r="C23" s="140"/>
      <c r="D23" s="60"/>
      <c r="E23" s="61"/>
      <c r="F23" s="61"/>
      <c r="G23" s="140"/>
      <c r="H23" s="140"/>
      <c r="I23" s="62"/>
      <c r="J23" s="33"/>
      <c r="K23" s="34"/>
      <c r="L23" s="34"/>
      <c r="O23" s="64" t="e">
        <f>VLOOKUP(J23,'SPRINT 0'!B45:K55,10,FALSE)</f>
        <v>#N/A</v>
      </c>
      <c r="P23" s="64" t="e">
        <f t="shared" si="0"/>
        <v>#REF!</v>
      </c>
      <c r="Q23" s="64" t="e">
        <f t="shared" si="1"/>
        <v>#N/A</v>
      </c>
    </row>
    <row r="24" spans="3:17" x14ac:dyDescent="0.2">
      <c r="C24" s="140"/>
      <c r="D24" s="60"/>
      <c r="E24" s="61"/>
      <c r="F24" s="61"/>
      <c r="G24" s="140"/>
      <c r="H24" s="140"/>
      <c r="I24" s="62"/>
      <c r="J24" s="33"/>
      <c r="K24" s="34"/>
      <c r="L24" s="34"/>
      <c r="O24" s="64" t="e">
        <f>VLOOKUP(J24,'SPRINT 0'!B45:K56,10,FALSE)</f>
        <v>#N/A</v>
      </c>
      <c r="P24" s="64" t="e">
        <f t="shared" si="0"/>
        <v>#REF!</v>
      </c>
      <c r="Q24" s="64" t="e">
        <f t="shared" si="1"/>
        <v>#N/A</v>
      </c>
    </row>
    <row r="25" spans="3:17" x14ac:dyDescent="0.2">
      <c r="C25" s="140"/>
      <c r="D25" s="60"/>
      <c r="E25" s="61"/>
      <c r="F25" s="61"/>
      <c r="G25" s="140"/>
      <c r="H25" s="140"/>
      <c r="I25" s="62"/>
      <c r="J25" s="33"/>
      <c r="K25" s="34"/>
      <c r="L25" s="34"/>
      <c r="O25" s="64" t="e">
        <f>VLOOKUP(J25,'SPRINT 0'!B45:K57,10,FALSE)</f>
        <v>#N/A</v>
      </c>
      <c r="P25" s="64" t="e">
        <f t="shared" si="0"/>
        <v>#REF!</v>
      </c>
      <c r="Q25" s="64" t="e">
        <f t="shared" si="1"/>
        <v>#N/A</v>
      </c>
    </row>
    <row r="26" spans="3:17" x14ac:dyDescent="0.2">
      <c r="C26" s="140"/>
      <c r="D26" s="60"/>
      <c r="E26" s="61"/>
      <c r="F26" s="61"/>
      <c r="G26" s="140"/>
      <c r="H26" s="140"/>
      <c r="I26" s="62"/>
      <c r="J26" s="33"/>
      <c r="K26" s="34"/>
      <c r="L26" s="34"/>
      <c r="O26" s="64" t="e">
        <f>VLOOKUP(J26,'SPRINT 0'!B45:K58,10,FALSE)</f>
        <v>#N/A</v>
      </c>
      <c r="P26" s="64" t="e">
        <f t="shared" si="0"/>
        <v>#REF!</v>
      </c>
      <c r="Q26" s="64" t="e">
        <f t="shared" si="1"/>
        <v>#N/A</v>
      </c>
    </row>
    <row r="27" spans="3:17" x14ac:dyDescent="0.2">
      <c r="C27" s="140"/>
      <c r="D27" s="60"/>
      <c r="E27" s="61"/>
      <c r="F27" s="61"/>
      <c r="G27" s="140"/>
      <c r="H27" s="140"/>
      <c r="I27" s="62"/>
      <c r="J27" s="33"/>
      <c r="K27" s="34"/>
      <c r="L27" s="34"/>
      <c r="O27" s="64" t="e">
        <f>VLOOKUP(J27,'SPRINT 0'!B45:K59,10,FALSE)</f>
        <v>#N/A</v>
      </c>
      <c r="P27" s="64" t="e">
        <f t="shared" si="0"/>
        <v>#REF!</v>
      </c>
      <c r="Q27" s="64" t="e">
        <f t="shared" si="1"/>
        <v>#N/A</v>
      </c>
    </row>
    <row r="28" spans="3:17" x14ac:dyDescent="0.2">
      <c r="C28" s="140"/>
      <c r="D28" s="60"/>
      <c r="E28" s="61"/>
      <c r="F28" s="61"/>
      <c r="G28" s="140"/>
      <c r="H28" s="140"/>
      <c r="I28" s="62"/>
      <c r="J28" s="33"/>
      <c r="K28" s="34"/>
      <c r="L28" s="34"/>
      <c r="O28" s="64" t="e">
        <f>VLOOKUP(J28,'SPRINT 0'!B45:K60,10,FALSE)</f>
        <v>#N/A</v>
      </c>
      <c r="P28" s="64" t="e">
        <f t="shared" si="0"/>
        <v>#REF!</v>
      </c>
      <c r="Q28" s="64" t="e">
        <f t="shared" si="1"/>
        <v>#N/A</v>
      </c>
    </row>
    <row r="29" spans="3:17" x14ac:dyDescent="0.2">
      <c r="C29" s="140"/>
      <c r="D29" s="60"/>
      <c r="E29" s="61"/>
      <c r="F29" s="61"/>
      <c r="G29" s="140"/>
      <c r="H29" s="140"/>
      <c r="I29" s="62"/>
      <c r="J29" s="33"/>
      <c r="K29" s="34"/>
      <c r="L29" s="34"/>
      <c r="O29" s="64" t="e">
        <f>VLOOKUP(J29,'SPRINT 0'!B45:K61,10,FALSE)</f>
        <v>#N/A</v>
      </c>
      <c r="P29" s="64" t="e">
        <f t="shared" si="0"/>
        <v>#REF!</v>
      </c>
      <c r="Q29" s="64" t="e">
        <f t="shared" si="1"/>
        <v>#N/A</v>
      </c>
    </row>
    <row r="30" spans="3:17" x14ac:dyDescent="0.2">
      <c r="C30" s="140"/>
      <c r="D30" s="60"/>
      <c r="E30" s="61"/>
      <c r="F30" s="61"/>
      <c r="G30" s="140"/>
      <c r="H30" s="140"/>
      <c r="I30" s="62"/>
      <c r="J30" s="33"/>
      <c r="K30" s="34"/>
      <c r="L30" s="34"/>
      <c r="O30" s="64" t="e">
        <f>VLOOKUP(J30,'SPRINT 0'!B45:K62,10,FALSE)</f>
        <v>#N/A</v>
      </c>
      <c r="P30" s="64" t="e">
        <f t="shared" si="0"/>
        <v>#REF!</v>
      </c>
      <c r="Q30" s="64" t="e">
        <f t="shared" si="1"/>
        <v>#N/A</v>
      </c>
    </row>
    <row r="31" spans="3:17" ht="15" x14ac:dyDescent="0.25">
      <c r="C31" s="62"/>
      <c r="D31" s="62"/>
      <c r="E31" s="62"/>
      <c r="F31" s="61"/>
      <c r="G31" s="140"/>
      <c r="H31" s="140"/>
      <c r="I31" s="62"/>
      <c r="J31"/>
      <c r="K31"/>
      <c r="L31"/>
      <c r="Q31" s="38">
        <f>SUMIF(Q13:Q16,"=1")</f>
        <v>0</v>
      </c>
    </row>
    <row r="32" spans="3:17" ht="15" x14ac:dyDescent="0.25">
      <c r="C32" s="62"/>
      <c r="D32" s="62"/>
      <c r="E32" s="62"/>
      <c r="F32" s="61"/>
      <c r="G32" s="140"/>
      <c r="H32" s="140"/>
      <c r="I32" s="62"/>
      <c r="J32"/>
      <c r="K32"/>
    </row>
    <row r="33" spans="2:11" ht="15" x14ac:dyDescent="0.25">
      <c r="C33" s="62"/>
      <c r="D33" s="62"/>
      <c r="E33" s="62"/>
      <c r="F33" s="61"/>
      <c r="G33" s="140"/>
      <c r="H33" s="140"/>
      <c r="I33" s="62"/>
      <c r="J33"/>
      <c r="K33"/>
    </row>
    <row r="34" spans="2:11" x14ac:dyDescent="0.2">
      <c r="C34" s="62"/>
      <c r="D34" s="62"/>
      <c r="E34" s="62"/>
      <c r="F34" s="61"/>
      <c r="G34" s="140"/>
      <c r="H34" s="140"/>
      <c r="I34" s="62"/>
    </row>
    <row r="35" spans="2:11" x14ac:dyDescent="0.2">
      <c r="C35" s="62"/>
      <c r="D35" s="62"/>
      <c r="E35" s="62"/>
      <c r="F35" s="61"/>
      <c r="G35" s="140"/>
      <c r="H35" s="140"/>
      <c r="I35" s="62"/>
    </row>
    <row r="36" spans="2:11" x14ac:dyDescent="0.2">
      <c r="C36" s="62"/>
      <c r="D36" s="62"/>
      <c r="E36" s="62"/>
      <c r="F36" s="61"/>
      <c r="G36" s="140"/>
      <c r="H36" s="140"/>
      <c r="I36" s="62"/>
    </row>
    <row r="37" spans="2:11" x14ac:dyDescent="0.2">
      <c r="C37" s="62"/>
      <c r="D37" s="62"/>
      <c r="E37" s="62"/>
      <c r="F37" s="61"/>
      <c r="G37" s="140"/>
      <c r="H37" s="140"/>
      <c r="I37" s="62"/>
    </row>
    <row r="38" spans="2:11" x14ac:dyDescent="0.2">
      <c r="C38" s="62"/>
      <c r="D38" s="62"/>
      <c r="E38" s="62"/>
      <c r="F38" s="61"/>
      <c r="G38" s="140"/>
      <c r="H38" s="140"/>
      <c r="I38" s="62"/>
    </row>
    <row r="39" spans="2:11" x14ac:dyDescent="0.2">
      <c r="G39" s="52">
        <f>SUM(G13:G38)</f>
        <v>224</v>
      </c>
      <c r="H39" s="52">
        <f>SUM(H13:H38)</f>
        <v>0</v>
      </c>
      <c r="I39" s="115"/>
    </row>
    <row r="40" spans="2:11" x14ac:dyDescent="0.2">
      <c r="I40" s="39"/>
    </row>
    <row r="41" spans="2:11" ht="15" customHeight="1" x14ac:dyDescent="0.2">
      <c r="B41" s="216" t="s">
        <v>88</v>
      </c>
      <c r="C41" s="217"/>
      <c r="D41" s="217"/>
      <c r="E41" s="217"/>
      <c r="F41" s="217"/>
      <c r="G41" s="217"/>
      <c r="H41" s="217"/>
      <c r="I41" s="217"/>
    </row>
    <row r="42" spans="2:11" ht="25.5" customHeight="1" x14ac:dyDescent="0.2">
      <c r="B42" s="43" t="s">
        <v>2</v>
      </c>
      <c r="C42" s="49" t="s">
        <v>92</v>
      </c>
      <c r="D42" s="218" t="s">
        <v>89</v>
      </c>
      <c r="E42" s="219"/>
      <c r="F42" s="220" t="s">
        <v>53</v>
      </c>
      <c r="G42" s="221"/>
      <c r="H42" s="43" t="s">
        <v>91</v>
      </c>
      <c r="I42" s="49" t="s">
        <v>90</v>
      </c>
    </row>
    <row r="43" spans="2:11" x14ac:dyDescent="0.2">
      <c r="B43" s="140">
        <v>1</v>
      </c>
      <c r="C43" s="140"/>
      <c r="D43" s="212"/>
      <c r="E43" s="213"/>
      <c r="F43" s="214"/>
      <c r="G43" s="214"/>
      <c r="H43" s="140"/>
      <c r="I43" s="62"/>
    </row>
    <row r="44" spans="2:11" x14ac:dyDescent="0.2">
      <c r="B44" s="140">
        <v>2</v>
      </c>
      <c r="C44" s="140"/>
      <c r="D44" s="212"/>
      <c r="E44" s="213"/>
      <c r="F44" s="214"/>
      <c r="G44" s="214"/>
      <c r="H44" s="140"/>
      <c r="I44" s="62"/>
    </row>
    <row r="45" spans="2:11" x14ac:dyDescent="0.2">
      <c r="B45" s="140">
        <v>3</v>
      </c>
      <c r="C45" s="140"/>
      <c r="D45" s="212"/>
      <c r="E45" s="213"/>
      <c r="F45" s="214"/>
      <c r="G45" s="214"/>
      <c r="H45" s="140"/>
      <c r="I45" s="62"/>
    </row>
    <row r="46" spans="2:11" x14ac:dyDescent="0.2">
      <c r="B46" s="140">
        <v>4</v>
      </c>
      <c r="C46" s="140"/>
      <c r="D46" s="212"/>
      <c r="E46" s="213"/>
      <c r="F46" s="214"/>
      <c r="G46" s="214"/>
      <c r="H46" s="140"/>
      <c r="I46" s="62"/>
    </row>
    <row r="47" spans="2:11" x14ac:dyDescent="0.2">
      <c r="B47" s="140">
        <v>5</v>
      </c>
      <c r="C47" s="140"/>
      <c r="D47" s="212"/>
      <c r="E47" s="213"/>
      <c r="F47" s="214"/>
      <c r="G47" s="214"/>
      <c r="H47" s="140"/>
      <c r="I47" s="62"/>
    </row>
  </sheetData>
  <sheetProtection insertRows="0" deleteRows="0"/>
  <mergeCells count="14">
    <mergeCell ref="B7:I7"/>
    <mergeCell ref="B41:I41"/>
    <mergeCell ref="D42:E42"/>
    <mergeCell ref="F42:G42"/>
    <mergeCell ref="D43:E43"/>
    <mergeCell ref="F43:G43"/>
    <mergeCell ref="D47:E47"/>
    <mergeCell ref="F47:G47"/>
    <mergeCell ref="D44:E44"/>
    <mergeCell ref="F44:G44"/>
    <mergeCell ref="D45:E45"/>
    <mergeCell ref="F45:G45"/>
    <mergeCell ref="D46:E46"/>
    <mergeCell ref="F46:G46"/>
  </mergeCells>
  <conditionalFormatting sqref="I40 D9">
    <cfRule type="cellIs" dxfId="132" priority="1" operator="equal">
      <formula>"OK"</formula>
    </cfRule>
    <cfRule type="cellIs" dxfId="131" priority="2" operator="equal">
      <formula>"ERROR"</formula>
    </cfRule>
  </conditionalFormatting>
  <dataValidations count="1">
    <dataValidation type="list" allowBlank="1" showInputMessage="1" showErrorMessage="1" sqref="H43:H47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561975</xdr:colOff>
                    <xdr:row>7</xdr:row>
                    <xdr:rowOff>104775</xdr:rowOff>
                  </from>
                  <to>
                    <xdr:col>4</xdr:col>
                    <xdr:colOff>1438275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7:Q47"/>
  <sheetViews>
    <sheetView showGridLines="0" view="pageBreakPreview" zoomScaleNormal="100" zoomScaleSheetLayoutView="100" workbookViewId="0">
      <selection activeCell="E35" sqref="E35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15" t="s">
        <v>180</v>
      </c>
      <c r="C7" s="215"/>
      <c r="D7" s="215"/>
      <c r="E7" s="215"/>
      <c r="F7" s="215"/>
      <c r="G7" s="215"/>
      <c r="H7" s="215"/>
      <c r="I7" s="215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IF(Q31&gt;0,"ERROR","OK")</f>
        <v>OK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14" t="s">
        <v>157</v>
      </c>
      <c r="H12" s="13" t="s">
        <v>158</v>
      </c>
      <c r="I12" s="13" t="s">
        <v>159</v>
      </c>
      <c r="J12" s="51" t="s">
        <v>40</v>
      </c>
      <c r="K12" s="29" t="s">
        <v>49</v>
      </c>
      <c r="L12" s="29" t="s">
        <v>167</v>
      </c>
      <c r="O12" s="36" t="s">
        <v>50</v>
      </c>
      <c r="P12" s="36" t="s">
        <v>51</v>
      </c>
      <c r="Q12" s="36" t="s">
        <v>52</v>
      </c>
    </row>
    <row r="13" spans="2:17" x14ac:dyDescent="0.2">
      <c r="C13" s="59">
        <v>1</v>
      </c>
      <c r="D13" s="60">
        <v>1</v>
      </c>
      <c r="E13" s="61" t="s">
        <v>170</v>
      </c>
      <c r="F13" s="61"/>
      <c r="G13" s="59"/>
      <c r="H13" s="59"/>
      <c r="I13" s="62" t="s">
        <v>154</v>
      </c>
      <c r="J13" s="33">
        <v>1</v>
      </c>
      <c r="K13" s="34">
        <v>1</v>
      </c>
      <c r="L13" s="34"/>
      <c r="O13" s="31">
        <f>VLOOKUP(J13,'SPRINT 0'!B27:K45,10,FALSE)</f>
        <v>24</v>
      </c>
      <c r="P13" s="31">
        <f>GETPIVOTDATA("Suma de HH PLANIFICADA",$J$12,"N° REQM",J13)</f>
        <v>0</v>
      </c>
      <c r="Q13" s="31">
        <f>IF(O13&gt;=P13,0,1)</f>
        <v>0</v>
      </c>
    </row>
    <row r="14" spans="2:17" x14ac:dyDescent="0.2">
      <c r="C14" s="59">
        <v>2</v>
      </c>
      <c r="D14" s="60">
        <v>2</v>
      </c>
      <c r="E14" s="61" t="s">
        <v>171</v>
      </c>
      <c r="F14" s="61"/>
      <c r="G14" s="59"/>
      <c r="H14" s="59"/>
      <c r="I14" s="62" t="s">
        <v>154</v>
      </c>
      <c r="J14" s="33">
        <v>2</v>
      </c>
      <c r="K14" s="34">
        <v>1</v>
      </c>
      <c r="L14" s="34"/>
      <c r="O14" s="64">
        <f>VLOOKUP(J14,'SPRINT 0'!B28:K46,10,FALSE)</f>
        <v>16</v>
      </c>
      <c r="P14" s="64">
        <f t="shared" ref="P14:P30" si="0">GETPIVOTDATA("Suma de HH PLANIFICADA",$J$12,"N° REQM",J14)</f>
        <v>0</v>
      </c>
      <c r="Q14" s="31">
        <f>IF(O14&gt;=P14,0,1)</f>
        <v>0</v>
      </c>
    </row>
    <row r="15" spans="2:17" x14ac:dyDescent="0.2">
      <c r="C15" s="59">
        <v>3</v>
      </c>
      <c r="D15" s="60">
        <v>3</v>
      </c>
      <c r="E15" s="61" t="s">
        <v>182</v>
      </c>
      <c r="F15" s="61"/>
      <c r="G15" s="59"/>
      <c r="H15" s="59"/>
      <c r="I15" s="62" t="s">
        <v>154</v>
      </c>
      <c r="J15" s="33">
        <v>3</v>
      </c>
      <c r="K15" s="34">
        <v>2</v>
      </c>
      <c r="L15" s="34"/>
      <c r="O15" s="64">
        <f>VLOOKUP(J15,'SPRINT 0'!B29:K47,10,FALSE)</f>
        <v>16</v>
      </c>
      <c r="P15" s="64">
        <f t="shared" si="0"/>
        <v>0</v>
      </c>
      <c r="Q15" s="31">
        <f>IF(O15&gt;=P15,0,1)</f>
        <v>0</v>
      </c>
    </row>
    <row r="16" spans="2:17" x14ac:dyDescent="0.2">
      <c r="C16" s="59">
        <v>3</v>
      </c>
      <c r="D16" s="60">
        <v>4</v>
      </c>
      <c r="E16" s="61" t="s">
        <v>183</v>
      </c>
      <c r="F16" s="61"/>
      <c r="G16" s="59"/>
      <c r="H16" s="59"/>
      <c r="I16" s="62" t="s">
        <v>154</v>
      </c>
      <c r="J16" s="33">
        <v>4</v>
      </c>
      <c r="K16" s="34">
        <v>2</v>
      </c>
      <c r="L16" s="34"/>
      <c r="O16" s="64">
        <f>VLOOKUP(J16,'SPRINT 0'!B30:K48,10,FALSE)</f>
        <v>24</v>
      </c>
      <c r="P16" s="64">
        <f t="shared" si="0"/>
        <v>0</v>
      </c>
      <c r="Q16" s="64">
        <f t="shared" ref="Q16:Q30" si="1">IF(O16&gt;=P16,0,1)</f>
        <v>0</v>
      </c>
    </row>
    <row r="17" spans="3:17" x14ac:dyDescent="0.2">
      <c r="C17" s="59">
        <v>4</v>
      </c>
      <c r="D17" s="60">
        <v>5</v>
      </c>
      <c r="E17" s="61" t="s">
        <v>184</v>
      </c>
      <c r="F17" s="61"/>
      <c r="G17" s="59"/>
      <c r="H17" s="59"/>
      <c r="I17" s="62" t="s">
        <v>154</v>
      </c>
      <c r="J17" s="33" t="s">
        <v>166</v>
      </c>
      <c r="K17" s="34"/>
      <c r="L17" s="34"/>
      <c r="O17" s="64" t="e">
        <f>VLOOKUP(J17,'SPRINT 0'!B31:K49,10,FALSE)</f>
        <v>#N/A</v>
      </c>
      <c r="P17" s="64">
        <f t="shared" si="0"/>
        <v>0</v>
      </c>
      <c r="Q17" s="64" t="e">
        <f t="shared" si="1"/>
        <v>#N/A</v>
      </c>
    </row>
    <row r="18" spans="3:17" x14ac:dyDescent="0.2">
      <c r="C18" s="59">
        <v>4</v>
      </c>
      <c r="D18" s="60">
        <v>6</v>
      </c>
      <c r="E18" s="61" t="s">
        <v>185</v>
      </c>
      <c r="F18" s="61"/>
      <c r="G18" s="59"/>
      <c r="H18" s="59"/>
      <c r="I18" s="62" t="s">
        <v>154</v>
      </c>
      <c r="J18" s="33">
        <v>5</v>
      </c>
      <c r="K18" s="34">
        <v>2</v>
      </c>
      <c r="L18" s="34"/>
      <c r="O18" s="64" t="e">
        <f>VLOOKUP(J18,'SPRINT 0'!B32:K50,10,FALSE)</f>
        <v>#N/A</v>
      </c>
      <c r="P18" s="64">
        <f t="shared" si="0"/>
        <v>0</v>
      </c>
      <c r="Q18" s="64" t="e">
        <f t="shared" si="1"/>
        <v>#N/A</v>
      </c>
    </row>
    <row r="19" spans="3:17" x14ac:dyDescent="0.2">
      <c r="C19" s="59">
        <v>5</v>
      </c>
      <c r="D19" s="60">
        <v>7</v>
      </c>
      <c r="E19" s="61" t="s">
        <v>186</v>
      </c>
      <c r="F19" s="61"/>
      <c r="G19" s="59"/>
      <c r="H19" s="59"/>
      <c r="I19" s="62" t="s">
        <v>154</v>
      </c>
      <c r="J19" s="33">
        <v>6</v>
      </c>
      <c r="K19" s="34">
        <v>2</v>
      </c>
      <c r="L19" s="34"/>
      <c r="O19" s="64" t="e">
        <f>VLOOKUP(J19,'SPRINT 0'!B33:K51,10,FALSE)</f>
        <v>#N/A</v>
      </c>
      <c r="P19" s="64">
        <f t="shared" si="0"/>
        <v>0</v>
      </c>
      <c r="Q19" s="64" t="e">
        <f t="shared" si="1"/>
        <v>#N/A</v>
      </c>
    </row>
    <row r="20" spans="3:17" x14ac:dyDescent="0.2">
      <c r="C20" s="59">
        <v>5</v>
      </c>
      <c r="D20" s="60">
        <v>8</v>
      </c>
      <c r="E20" s="61" t="s">
        <v>187</v>
      </c>
      <c r="F20" s="61"/>
      <c r="G20" s="59"/>
      <c r="H20" s="59"/>
      <c r="I20" s="62" t="s">
        <v>154</v>
      </c>
      <c r="J20" s="33">
        <v>7</v>
      </c>
      <c r="K20" s="34">
        <v>1</v>
      </c>
      <c r="L20" s="34"/>
      <c r="O20" s="64" t="e">
        <f>VLOOKUP(J20,'SPRINT 0'!B34:K52,10,FALSE)</f>
        <v>#N/A</v>
      </c>
      <c r="P20" s="64">
        <f t="shared" si="0"/>
        <v>0</v>
      </c>
      <c r="Q20" s="64" t="e">
        <f t="shared" si="1"/>
        <v>#N/A</v>
      </c>
    </row>
    <row r="21" spans="3:17" x14ac:dyDescent="0.2">
      <c r="C21" s="59">
        <v>6</v>
      </c>
      <c r="D21" s="60">
        <v>9</v>
      </c>
      <c r="E21" s="61" t="s">
        <v>188</v>
      </c>
      <c r="F21" s="61"/>
      <c r="G21" s="59"/>
      <c r="H21" s="59"/>
      <c r="I21" s="62" t="s">
        <v>154</v>
      </c>
      <c r="J21" s="33" t="s">
        <v>41</v>
      </c>
      <c r="K21" s="34">
        <v>11</v>
      </c>
      <c r="L21" s="34"/>
      <c r="O21" s="64" t="e">
        <f>VLOOKUP(J21,'SPRINT 0'!B35:K53,10,FALSE)</f>
        <v>#N/A</v>
      </c>
      <c r="P21" s="64" t="e">
        <f t="shared" si="0"/>
        <v>#REF!</v>
      </c>
      <c r="Q21" s="64" t="e">
        <f t="shared" si="1"/>
        <v>#N/A</v>
      </c>
    </row>
    <row r="22" spans="3:17" x14ac:dyDescent="0.2">
      <c r="C22" s="59">
        <v>6</v>
      </c>
      <c r="D22" s="60">
        <v>10</v>
      </c>
      <c r="E22" s="61" t="s">
        <v>189</v>
      </c>
      <c r="F22" s="61"/>
      <c r="G22" s="59"/>
      <c r="H22" s="59"/>
      <c r="I22" s="62" t="s">
        <v>154</v>
      </c>
      <c r="J22" s="33"/>
      <c r="K22" s="34"/>
      <c r="L22" s="34"/>
      <c r="O22" s="64" t="e">
        <f>VLOOKUP(J22,'SPRINT 0'!B36:K54,10,FALSE)</f>
        <v>#N/A</v>
      </c>
      <c r="P22" s="64" t="e">
        <f t="shared" si="0"/>
        <v>#REF!</v>
      </c>
      <c r="Q22" s="64" t="e">
        <f t="shared" si="1"/>
        <v>#N/A</v>
      </c>
    </row>
    <row r="23" spans="3:17" x14ac:dyDescent="0.2">
      <c r="C23" s="59">
        <v>7</v>
      </c>
      <c r="D23" s="60">
        <v>11</v>
      </c>
      <c r="E23" s="61" t="s">
        <v>178</v>
      </c>
      <c r="F23" s="61"/>
      <c r="G23" s="59"/>
      <c r="H23" s="59"/>
      <c r="I23" s="62" t="s">
        <v>154</v>
      </c>
      <c r="J23" s="33"/>
      <c r="K23" s="34"/>
      <c r="L23" s="34"/>
      <c r="O23" s="64" t="e">
        <f>VLOOKUP(J23,'SPRINT 0'!B45:K55,10,FALSE)</f>
        <v>#N/A</v>
      </c>
      <c r="P23" s="64" t="e">
        <f t="shared" si="0"/>
        <v>#REF!</v>
      </c>
      <c r="Q23" s="64" t="e">
        <f t="shared" si="1"/>
        <v>#N/A</v>
      </c>
    </row>
    <row r="24" spans="3:17" x14ac:dyDescent="0.2">
      <c r="C24" s="59"/>
      <c r="D24" s="60"/>
      <c r="E24" s="61"/>
      <c r="F24" s="61"/>
      <c r="G24" s="59"/>
      <c r="H24" s="59"/>
      <c r="I24" s="62" t="s">
        <v>154</v>
      </c>
      <c r="J24" s="33"/>
      <c r="K24" s="34"/>
      <c r="L24" s="34"/>
      <c r="O24" s="64" t="e">
        <f>VLOOKUP(J24,'SPRINT 0'!B45:K56,10,FALSE)</f>
        <v>#N/A</v>
      </c>
      <c r="P24" s="64" t="e">
        <f t="shared" si="0"/>
        <v>#REF!</v>
      </c>
      <c r="Q24" s="64" t="e">
        <f t="shared" si="1"/>
        <v>#N/A</v>
      </c>
    </row>
    <row r="25" spans="3:17" x14ac:dyDescent="0.2">
      <c r="C25" s="59"/>
      <c r="D25" s="60"/>
      <c r="E25" s="61"/>
      <c r="F25" s="61"/>
      <c r="G25" s="59"/>
      <c r="H25" s="59"/>
      <c r="I25" s="62"/>
      <c r="J25" s="33"/>
      <c r="K25" s="34"/>
      <c r="L25" s="34"/>
      <c r="O25" s="64" t="e">
        <f>VLOOKUP(J25,'SPRINT 0'!B45:K57,10,FALSE)</f>
        <v>#N/A</v>
      </c>
      <c r="P25" s="64" t="e">
        <f t="shared" si="0"/>
        <v>#REF!</v>
      </c>
      <c r="Q25" s="64" t="e">
        <f t="shared" si="1"/>
        <v>#N/A</v>
      </c>
    </row>
    <row r="26" spans="3:17" x14ac:dyDescent="0.2">
      <c r="C26" s="59"/>
      <c r="D26" s="60"/>
      <c r="E26" s="61"/>
      <c r="F26" s="61"/>
      <c r="G26" s="59"/>
      <c r="H26" s="59"/>
      <c r="I26" s="62"/>
      <c r="J26" s="33"/>
      <c r="K26" s="34"/>
      <c r="L26" s="34"/>
      <c r="O26" s="64" t="e">
        <f>VLOOKUP(J26,'SPRINT 0'!B45:K58,10,FALSE)</f>
        <v>#N/A</v>
      </c>
      <c r="P26" s="64" t="e">
        <f t="shared" si="0"/>
        <v>#REF!</v>
      </c>
      <c r="Q26" s="64" t="e">
        <f t="shared" si="1"/>
        <v>#N/A</v>
      </c>
    </row>
    <row r="27" spans="3:17" x14ac:dyDescent="0.2">
      <c r="C27" s="59"/>
      <c r="D27" s="60"/>
      <c r="E27" s="61"/>
      <c r="F27" s="61"/>
      <c r="G27" s="59"/>
      <c r="H27" s="59"/>
      <c r="I27" s="62"/>
      <c r="J27" s="33"/>
      <c r="K27" s="34"/>
      <c r="L27" s="34"/>
      <c r="O27" s="64" t="e">
        <f>VLOOKUP(J27,'SPRINT 0'!B45:K59,10,FALSE)</f>
        <v>#N/A</v>
      </c>
      <c r="P27" s="64" t="e">
        <f t="shared" si="0"/>
        <v>#REF!</v>
      </c>
      <c r="Q27" s="64" t="e">
        <f t="shared" si="1"/>
        <v>#N/A</v>
      </c>
    </row>
    <row r="28" spans="3:17" x14ac:dyDescent="0.2">
      <c r="C28" s="59"/>
      <c r="D28" s="60"/>
      <c r="E28" s="61"/>
      <c r="F28" s="61"/>
      <c r="G28" s="59"/>
      <c r="H28" s="59"/>
      <c r="I28" s="62"/>
      <c r="J28" s="33"/>
      <c r="K28" s="34"/>
      <c r="L28" s="34"/>
      <c r="O28" s="64" t="e">
        <f>VLOOKUP(J28,'SPRINT 0'!B45:K60,10,FALSE)</f>
        <v>#N/A</v>
      </c>
      <c r="P28" s="64" t="e">
        <f t="shared" si="0"/>
        <v>#REF!</v>
      </c>
      <c r="Q28" s="64" t="e">
        <f t="shared" si="1"/>
        <v>#N/A</v>
      </c>
    </row>
    <row r="29" spans="3:17" x14ac:dyDescent="0.2">
      <c r="C29" s="59"/>
      <c r="D29" s="60"/>
      <c r="E29" s="61"/>
      <c r="F29" s="61"/>
      <c r="G29" s="59"/>
      <c r="H29" s="59"/>
      <c r="I29" s="62"/>
      <c r="J29" s="33"/>
      <c r="K29" s="34"/>
      <c r="L29" s="34"/>
      <c r="O29" s="64" t="e">
        <f>VLOOKUP(J29,'SPRINT 0'!B45:K61,10,FALSE)</f>
        <v>#N/A</v>
      </c>
      <c r="P29" s="64" t="e">
        <f t="shared" si="0"/>
        <v>#REF!</v>
      </c>
      <c r="Q29" s="64" t="e">
        <f t="shared" si="1"/>
        <v>#N/A</v>
      </c>
    </row>
    <row r="30" spans="3:17" x14ac:dyDescent="0.2">
      <c r="C30" s="59"/>
      <c r="D30" s="60"/>
      <c r="E30" s="61"/>
      <c r="F30" s="61"/>
      <c r="G30" s="59"/>
      <c r="H30" s="59"/>
      <c r="I30" s="62"/>
      <c r="J30" s="33"/>
      <c r="K30" s="34"/>
      <c r="L30" s="34"/>
      <c r="O30" s="64" t="e">
        <f>VLOOKUP(J30,'SPRINT 0'!B45:K62,10,FALSE)</f>
        <v>#N/A</v>
      </c>
      <c r="P30" s="64" t="e">
        <f t="shared" si="0"/>
        <v>#REF!</v>
      </c>
      <c r="Q30" s="64" t="e">
        <f t="shared" si="1"/>
        <v>#N/A</v>
      </c>
    </row>
    <row r="31" spans="3:17" ht="15" x14ac:dyDescent="0.25">
      <c r="C31" s="62"/>
      <c r="D31" s="62"/>
      <c r="E31" s="62"/>
      <c r="F31" s="61"/>
      <c r="G31" s="59"/>
      <c r="H31" s="59"/>
      <c r="I31" s="62"/>
      <c r="J31"/>
      <c r="K31"/>
      <c r="L31"/>
      <c r="Q31" s="38">
        <f>SUMIF(Q13:Q16,"=1")</f>
        <v>0</v>
      </c>
    </row>
    <row r="32" spans="3:17" ht="15" x14ac:dyDescent="0.25">
      <c r="C32" s="62"/>
      <c r="D32" s="62"/>
      <c r="E32" s="62"/>
      <c r="F32" s="61"/>
      <c r="G32" s="59"/>
      <c r="H32" s="59"/>
      <c r="I32" s="62"/>
      <c r="J32"/>
      <c r="K32"/>
    </row>
    <row r="33" spans="2:11" ht="15" x14ac:dyDescent="0.25">
      <c r="C33" s="62"/>
      <c r="D33" s="62"/>
      <c r="E33" s="62"/>
      <c r="F33" s="61"/>
      <c r="G33" s="59"/>
      <c r="H33" s="59"/>
      <c r="I33" s="62"/>
      <c r="J33"/>
      <c r="K33"/>
    </row>
    <row r="34" spans="2:11" x14ac:dyDescent="0.2">
      <c r="C34" s="62"/>
      <c r="D34" s="62"/>
      <c r="E34" s="62"/>
      <c r="F34" s="61"/>
      <c r="G34" s="59"/>
      <c r="H34" s="59"/>
      <c r="I34" s="62"/>
    </row>
    <row r="35" spans="2:11" x14ac:dyDescent="0.2">
      <c r="C35" s="62"/>
      <c r="D35" s="62"/>
      <c r="E35" s="62"/>
      <c r="F35" s="61"/>
      <c r="G35" s="59"/>
      <c r="H35" s="59"/>
      <c r="I35" s="62"/>
    </row>
    <row r="36" spans="2:11" x14ac:dyDescent="0.2">
      <c r="C36" s="62"/>
      <c r="D36" s="62"/>
      <c r="E36" s="62"/>
      <c r="F36" s="61"/>
      <c r="G36" s="59"/>
      <c r="H36" s="59"/>
      <c r="I36" s="62"/>
    </row>
    <row r="37" spans="2:11" x14ac:dyDescent="0.2">
      <c r="C37" s="62"/>
      <c r="D37" s="62"/>
      <c r="E37" s="62"/>
      <c r="F37" s="61"/>
      <c r="G37" s="59"/>
      <c r="H37" s="59"/>
      <c r="I37" s="62"/>
    </row>
    <row r="38" spans="2:11" x14ac:dyDescent="0.2">
      <c r="C38" s="62"/>
      <c r="D38" s="62"/>
      <c r="E38" s="62"/>
      <c r="F38" s="61"/>
      <c r="G38" s="59"/>
      <c r="H38" s="59"/>
      <c r="I38" s="62"/>
    </row>
    <row r="39" spans="2:11" x14ac:dyDescent="0.2">
      <c r="G39" s="52">
        <f>SUM(G13:G38)</f>
        <v>0</v>
      </c>
      <c r="H39" s="52">
        <f>SUM(H13:H38)</f>
        <v>0</v>
      </c>
      <c r="I39" s="115"/>
    </row>
    <row r="40" spans="2:11" x14ac:dyDescent="0.2">
      <c r="I40" s="39"/>
    </row>
    <row r="41" spans="2:11" ht="15" customHeight="1" x14ac:dyDescent="0.2">
      <c r="B41" s="216" t="s">
        <v>88</v>
      </c>
      <c r="C41" s="217"/>
      <c r="D41" s="217"/>
      <c r="E41" s="217"/>
      <c r="F41" s="217"/>
      <c r="G41" s="217"/>
      <c r="H41" s="217"/>
      <c r="I41" s="217"/>
    </row>
    <row r="42" spans="2:11" ht="25.5" customHeight="1" x14ac:dyDescent="0.2">
      <c r="B42" s="43" t="s">
        <v>2</v>
      </c>
      <c r="C42" s="49" t="s">
        <v>92</v>
      </c>
      <c r="D42" s="218" t="s">
        <v>89</v>
      </c>
      <c r="E42" s="219"/>
      <c r="F42" s="220" t="s">
        <v>53</v>
      </c>
      <c r="G42" s="221"/>
      <c r="H42" s="43" t="s">
        <v>91</v>
      </c>
      <c r="I42" s="49" t="s">
        <v>90</v>
      </c>
    </row>
    <row r="43" spans="2:11" x14ac:dyDescent="0.2">
      <c r="B43" s="59">
        <v>1</v>
      </c>
      <c r="C43" s="59"/>
      <c r="D43" s="212"/>
      <c r="E43" s="213"/>
      <c r="F43" s="214"/>
      <c r="G43" s="214"/>
      <c r="H43" s="59"/>
      <c r="I43" s="62"/>
    </row>
    <row r="44" spans="2:11" x14ac:dyDescent="0.2">
      <c r="B44" s="59">
        <v>2</v>
      </c>
      <c r="C44" s="59"/>
      <c r="D44" s="212"/>
      <c r="E44" s="213"/>
      <c r="F44" s="214"/>
      <c r="G44" s="214"/>
      <c r="H44" s="59"/>
      <c r="I44" s="62"/>
    </row>
    <row r="45" spans="2:11" x14ac:dyDescent="0.2">
      <c r="B45" s="59">
        <v>3</v>
      </c>
      <c r="C45" s="59"/>
      <c r="D45" s="212"/>
      <c r="E45" s="213"/>
      <c r="F45" s="214"/>
      <c r="G45" s="214"/>
      <c r="H45" s="59"/>
      <c r="I45" s="62"/>
    </row>
    <row r="46" spans="2:11" x14ac:dyDescent="0.2">
      <c r="B46" s="59">
        <v>4</v>
      </c>
      <c r="C46" s="59"/>
      <c r="D46" s="212"/>
      <c r="E46" s="213"/>
      <c r="F46" s="214"/>
      <c r="G46" s="214"/>
      <c r="H46" s="59"/>
      <c r="I46" s="62"/>
    </row>
    <row r="47" spans="2:11" x14ac:dyDescent="0.2">
      <c r="B47" s="59">
        <v>5</v>
      </c>
      <c r="C47" s="59"/>
      <c r="D47" s="212"/>
      <c r="E47" s="213"/>
      <c r="F47" s="214"/>
      <c r="G47" s="214"/>
      <c r="H47" s="59"/>
      <c r="I47" s="62"/>
    </row>
  </sheetData>
  <sheetProtection insertRows="0" deleteRows="0"/>
  <mergeCells count="14">
    <mergeCell ref="F46:G46"/>
    <mergeCell ref="F47:G47"/>
    <mergeCell ref="B41:I41"/>
    <mergeCell ref="B7:I7"/>
    <mergeCell ref="F42:G42"/>
    <mergeCell ref="F43:G43"/>
    <mergeCell ref="F44:G44"/>
    <mergeCell ref="F45:G45"/>
    <mergeCell ref="D47:E47"/>
    <mergeCell ref="D42:E42"/>
    <mergeCell ref="D43:E43"/>
    <mergeCell ref="D44:E44"/>
    <mergeCell ref="D45:E45"/>
    <mergeCell ref="D46:E46"/>
  </mergeCells>
  <conditionalFormatting sqref="I40 D9">
    <cfRule type="cellIs" dxfId="118" priority="1" operator="equal">
      <formula>"OK"</formula>
    </cfRule>
    <cfRule type="cellIs" dxfId="117" priority="2" operator="equal">
      <formula>"ERROR"</formula>
    </cfRule>
  </conditionalFormatting>
  <dataValidations count="1">
    <dataValidation type="list" allowBlank="1" showInputMessage="1" showErrorMessage="1" sqref="H43:H47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571500</xdr:colOff>
                    <xdr:row>7</xdr:row>
                    <xdr:rowOff>104775</xdr:rowOff>
                  </from>
                  <to>
                    <xdr:col>4</xdr:col>
                    <xdr:colOff>1447800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7:Q47"/>
  <sheetViews>
    <sheetView showGridLines="0" view="pageBreakPreview" zoomScaleNormal="100" zoomScaleSheetLayoutView="100" workbookViewId="0">
      <selection activeCell="B8" sqref="B8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15" t="s">
        <v>216</v>
      </c>
      <c r="C7" s="215"/>
      <c r="D7" s="215"/>
      <c r="E7" s="215"/>
      <c r="F7" s="215"/>
      <c r="G7" s="215"/>
      <c r="H7" s="215"/>
      <c r="I7" s="215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IF(Q31&gt;0,"ERROR","OK")</f>
        <v>OK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14" t="s">
        <v>157</v>
      </c>
      <c r="H12" s="13" t="s">
        <v>158</v>
      </c>
      <c r="I12" s="13" t="s">
        <v>159</v>
      </c>
      <c r="J12" s="51" t="s">
        <v>40</v>
      </c>
      <c r="K12" s="29" t="s">
        <v>49</v>
      </c>
      <c r="L12" s="29" t="s">
        <v>167</v>
      </c>
      <c r="O12" s="36" t="s">
        <v>50</v>
      </c>
      <c r="P12" s="36" t="s">
        <v>51</v>
      </c>
      <c r="Q12" s="36" t="s">
        <v>52</v>
      </c>
    </row>
    <row r="13" spans="2:17" x14ac:dyDescent="0.2">
      <c r="C13" s="140">
        <v>1</v>
      </c>
      <c r="D13" s="60">
        <v>1</v>
      </c>
      <c r="E13" s="61" t="s">
        <v>170</v>
      </c>
      <c r="F13" s="61"/>
      <c r="G13" s="140"/>
      <c r="H13" s="140"/>
      <c r="I13" s="62" t="s">
        <v>154</v>
      </c>
      <c r="J13" s="33">
        <v>1</v>
      </c>
      <c r="K13" s="34">
        <v>1</v>
      </c>
      <c r="L13" s="34"/>
      <c r="O13" s="64">
        <f>VLOOKUP(J13,'SPRINT 0'!B27:K45,10,FALSE)</f>
        <v>24</v>
      </c>
      <c r="P13" s="64">
        <f>GETPIVOTDATA("Suma de HH PLANIFICADA",$J$12,"N° REQM",J13)</f>
        <v>0</v>
      </c>
      <c r="Q13" s="64">
        <f>IF(O13&gt;=P13,0,1)</f>
        <v>0</v>
      </c>
    </row>
    <row r="14" spans="2:17" x14ac:dyDescent="0.2">
      <c r="C14" s="140">
        <v>2</v>
      </c>
      <c r="D14" s="60">
        <v>2</v>
      </c>
      <c r="E14" s="61" t="s">
        <v>171</v>
      </c>
      <c r="F14" s="61"/>
      <c r="G14" s="140"/>
      <c r="H14" s="140"/>
      <c r="I14" s="62" t="s">
        <v>154</v>
      </c>
      <c r="J14" s="33">
        <v>2</v>
      </c>
      <c r="K14" s="34">
        <v>1</v>
      </c>
      <c r="L14" s="34"/>
      <c r="O14" s="64">
        <f>VLOOKUP(J14,'SPRINT 0'!B28:K46,10,FALSE)</f>
        <v>16</v>
      </c>
      <c r="P14" s="64">
        <f t="shared" ref="P14:P30" si="0">GETPIVOTDATA("Suma de HH PLANIFICADA",$J$12,"N° REQM",J14)</f>
        <v>0</v>
      </c>
      <c r="Q14" s="64">
        <f>IF(O14&gt;=P14,0,1)</f>
        <v>0</v>
      </c>
    </row>
    <row r="15" spans="2:17" x14ac:dyDescent="0.2">
      <c r="C15" s="140">
        <v>3</v>
      </c>
      <c r="D15" s="60">
        <v>3</v>
      </c>
      <c r="E15" s="61" t="s">
        <v>190</v>
      </c>
      <c r="F15" s="61"/>
      <c r="G15" s="140"/>
      <c r="H15" s="140"/>
      <c r="I15" s="62" t="s">
        <v>154</v>
      </c>
      <c r="J15" s="33">
        <v>3</v>
      </c>
      <c r="K15" s="34">
        <v>2</v>
      </c>
      <c r="L15" s="34"/>
      <c r="O15" s="64">
        <f>VLOOKUP(J15,'SPRINT 0'!B29:K47,10,FALSE)</f>
        <v>16</v>
      </c>
      <c r="P15" s="64">
        <f t="shared" si="0"/>
        <v>0</v>
      </c>
      <c r="Q15" s="64">
        <f>IF(O15&gt;=P15,0,1)</f>
        <v>0</v>
      </c>
    </row>
    <row r="16" spans="2:17" x14ac:dyDescent="0.2">
      <c r="C16" s="140">
        <v>3</v>
      </c>
      <c r="D16" s="60">
        <v>4</v>
      </c>
      <c r="E16" s="61" t="s">
        <v>191</v>
      </c>
      <c r="F16" s="61"/>
      <c r="G16" s="140"/>
      <c r="H16" s="140"/>
      <c r="I16" s="62" t="s">
        <v>154</v>
      </c>
      <c r="J16" s="33">
        <v>4</v>
      </c>
      <c r="K16" s="34">
        <v>2</v>
      </c>
      <c r="L16" s="34"/>
      <c r="O16" s="64">
        <f>VLOOKUP(J16,'SPRINT 0'!B30:K48,10,FALSE)</f>
        <v>24</v>
      </c>
      <c r="P16" s="64">
        <f t="shared" si="0"/>
        <v>0</v>
      </c>
      <c r="Q16" s="64">
        <f t="shared" ref="Q16:Q30" si="1">IF(O16&gt;=P16,0,1)</f>
        <v>0</v>
      </c>
    </row>
    <row r="17" spans="3:17" x14ac:dyDescent="0.2">
      <c r="C17" s="140">
        <v>4</v>
      </c>
      <c r="D17" s="60">
        <v>5</v>
      </c>
      <c r="E17" s="61" t="s">
        <v>193</v>
      </c>
      <c r="F17" s="61"/>
      <c r="G17" s="140"/>
      <c r="H17" s="140"/>
      <c r="I17" s="62" t="s">
        <v>154</v>
      </c>
      <c r="J17" s="33" t="s">
        <v>166</v>
      </c>
      <c r="K17" s="34"/>
      <c r="L17" s="34"/>
      <c r="O17" s="64" t="e">
        <f>VLOOKUP(J17,'SPRINT 0'!B31:K49,10,FALSE)</f>
        <v>#N/A</v>
      </c>
      <c r="P17" s="64">
        <f t="shared" si="0"/>
        <v>0</v>
      </c>
      <c r="Q17" s="64" t="e">
        <f t="shared" si="1"/>
        <v>#N/A</v>
      </c>
    </row>
    <row r="18" spans="3:17" x14ac:dyDescent="0.2">
      <c r="C18" s="140">
        <v>4</v>
      </c>
      <c r="D18" s="60">
        <v>6</v>
      </c>
      <c r="E18" s="61" t="s">
        <v>192</v>
      </c>
      <c r="F18" s="61"/>
      <c r="G18" s="140"/>
      <c r="H18" s="140"/>
      <c r="I18" s="62" t="s">
        <v>154</v>
      </c>
      <c r="J18" s="33">
        <v>5</v>
      </c>
      <c r="K18" s="34">
        <v>2</v>
      </c>
      <c r="L18" s="34"/>
      <c r="O18" s="64" t="e">
        <f>VLOOKUP(J18,'SPRINT 0'!B32:K50,10,FALSE)</f>
        <v>#N/A</v>
      </c>
      <c r="P18" s="64">
        <f t="shared" si="0"/>
        <v>0</v>
      </c>
      <c r="Q18" s="64" t="e">
        <f t="shared" si="1"/>
        <v>#N/A</v>
      </c>
    </row>
    <row r="19" spans="3:17" x14ac:dyDescent="0.2">
      <c r="C19" s="140">
        <v>5</v>
      </c>
      <c r="D19" s="60">
        <v>7</v>
      </c>
      <c r="E19" s="61" t="s">
        <v>194</v>
      </c>
      <c r="F19" s="61"/>
      <c r="G19" s="140"/>
      <c r="H19" s="140"/>
      <c r="I19" s="62" t="s">
        <v>154</v>
      </c>
      <c r="J19" s="33">
        <v>6</v>
      </c>
      <c r="K19" s="34">
        <v>2</v>
      </c>
      <c r="L19" s="34"/>
      <c r="O19" s="64" t="e">
        <f>VLOOKUP(J19,'SPRINT 0'!B33:K51,10,FALSE)</f>
        <v>#N/A</v>
      </c>
      <c r="P19" s="64">
        <f t="shared" si="0"/>
        <v>0</v>
      </c>
      <c r="Q19" s="64" t="e">
        <f t="shared" si="1"/>
        <v>#N/A</v>
      </c>
    </row>
    <row r="20" spans="3:17" x14ac:dyDescent="0.2">
      <c r="C20" s="140">
        <v>5</v>
      </c>
      <c r="D20" s="60">
        <v>8</v>
      </c>
      <c r="E20" s="61" t="s">
        <v>195</v>
      </c>
      <c r="F20" s="61"/>
      <c r="G20" s="140"/>
      <c r="H20" s="140"/>
      <c r="I20" s="62" t="s">
        <v>154</v>
      </c>
      <c r="J20" s="33">
        <v>7</v>
      </c>
      <c r="K20" s="34">
        <v>1</v>
      </c>
      <c r="L20" s="34"/>
      <c r="O20" s="64" t="e">
        <f>VLOOKUP(J20,'SPRINT 0'!B34:K52,10,FALSE)</f>
        <v>#N/A</v>
      </c>
      <c r="P20" s="64">
        <f t="shared" si="0"/>
        <v>0</v>
      </c>
      <c r="Q20" s="64" t="e">
        <f t="shared" si="1"/>
        <v>#N/A</v>
      </c>
    </row>
    <row r="21" spans="3:17" x14ac:dyDescent="0.2">
      <c r="C21" s="140">
        <v>6</v>
      </c>
      <c r="D21" s="60">
        <v>9</v>
      </c>
      <c r="E21" s="61" t="s">
        <v>196</v>
      </c>
      <c r="F21" s="61"/>
      <c r="G21" s="140"/>
      <c r="H21" s="140"/>
      <c r="I21" s="62" t="s">
        <v>154</v>
      </c>
      <c r="J21" s="33" t="s">
        <v>41</v>
      </c>
      <c r="K21" s="34">
        <v>11</v>
      </c>
      <c r="L21" s="34"/>
      <c r="O21" s="64" t="e">
        <f>VLOOKUP(J21,'SPRINT 0'!B35:K53,10,FALSE)</f>
        <v>#N/A</v>
      </c>
      <c r="P21" s="64" t="e">
        <f t="shared" si="0"/>
        <v>#REF!</v>
      </c>
      <c r="Q21" s="64" t="e">
        <f t="shared" si="1"/>
        <v>#N/A</v>
      </c>
    </row>
    <row r="22" spans="3:17" x14ac:dyDescent="0.2">
      <c r="C22" s="140">
        <v>6</v>
      </c>
      <c r="D22" s="60">
        <v>10</v>
      </c>
      <c r="E22" s="61" t="s">
        <v>197</v>
      </c>
      <c r="F22" s="61"/>
      <c r="G22" s="140"/>
      <c r="H22" s="140"/>
      <c r="I22" s="62" t="s">
        <v>154</v>
      </c>
      <c r="J22" s="33"/>
      <c r="K22" s="34"/>
      <c r="L22" s="34"/>
      <c r="O22" s="64" t="e">
        <f>VLOOKUP(J22,'SPRINT 0'!B36:K54,10,FALSE)</f>
        <v>#N/A</v>
      </c>
      <c r="P22" s="64" t="e">
        <f t="shared" si="0"/>
        <v>#REF!</v>
      </c>
      <c r="Q22" s="64" t="e">
        <f t="shared" si="1"/>
        <v>#N/A</v>
      </c>
    </row>
    <row r="23" spans="3:17" x14ac:dyDescent="0.2">
      <c r="C23" s="140">
        <v>7</v>
      </c>
      <c r="D23" s="60">
        <v>11</v>
      </c>
      <c r="E23" s="61" t="s">
        <v>199</v>
      </c>
      <c r="F23" s="61"/>
      <c r="G23" s="140"/>
      <c r="H23" s="140"/>
      <c r="I23" s="62" t="s">
        <v>154</v>
      </c>
      <c r="J23" s="33"/>
      <c r="K23" s="34"/>
      <c r="L23" s="34"/>
      <c r="O23" s="64" t="e">
        <f>VLOOKUP(J23,'SPRINT 0'!B45:K55,10,FALSE)</f>
        <v>#N/A</v>
      </c>
      <c r="P23" s="64" t="e">
        <f t="shared" si="0"/>
        <v>#REF!</v>
      </c>
      <c r="Q23" s="64" t="e">
        <f t="shared" si="1"/>
        <v>#N/A</v>
      </c>
    </row>
    <row r="24" spans="3:17" x14ac:dyDescent="0.2">
      <c r="C24" s="140">
        <v>7</v>
      </c>
      <c r="D24" s="60">
        <v>12</v>
      </c>
      <c r="E24" s="61" t="s">
        <v>198</v>
      </c>
      <c r="F24" s="61"/>
      <c r="G24" s="140"/>
      <c r="H24" s="140"/>
      <c r="I24" s="62" t="s">
        <v>154</v>
      </c>
      <c r="J24" s="33"/>
      <c r="K24" s="34"/>
      <c r="L24" s="34"/>
      <c r="O24" s="64" t="e">
        <f>VLOOKUP(J24,'SPRINT 0'!B45:K56,10,FALSE)</f>
        <v>#N/A</v>
      </c>
      <c r="P24" s="64" t="e">
        <f t="shared" si="0"/>
        <v>#REF!</v>
      </c>
      <c r="Q24" s="64" t="e">
        <f t="shared" si="1"/>
        <v>#N/A</v>
      </c>
    </row>
    <row r="25" spans="3:17" x14ac:dyDescent="0.2">
      <c r="C25" s="140">
        <v>8</v>
      </c>
      <c r="D25" s="60">
        <v>13</v>
      </c>
      <c r="E25" s="61" t="s">
        <v>200</v>
      </c>
      <c r="F25" s="61"/>
      <c r="G25" s="140"/>
      <c r="H25" s="140"/>
      <c r="I25" s="62" t="s">
        <v>154</v>
      </c>
      <c r="J25" s="33"/>
      <c r="K25" s="34"/>
      <c r="L25" s="34"/>
      <c r="O25" s="64" t="e">
        <f>VLOOKUP(J25,'SPRINT 0'!B45:K57,10,FALSE)</f>
        <v>#N/A</v>
      </c>
      <c r="P25" s="64" t="e">
        <f t="shared" si="0"/>
        <v>#REF!</v>
      </c>
      <c r="Q25" s="64" t="e">
        <f t="shared" si="1"/>
        <v>#N/A</v>
      </c>
    </row>
    <row r="26" spans="3:17" x14ac:dyDescent="0.2">
      <c r="C26" s="140"/>
      <c r="D26" s="60"/>
      <c r="E26" s="61"/>
      <c r="F26" s="61"/>
      <c r="G26" s="140"/>
      <c r="H26" s="140"/>
      <c r="I26" s="62"/>
      <c r="J26" s="33"/>
      <c r="K26" s="34"/>
      <c r="L26" s="34"/>
      <c r="O26" s="64" t="e">
        <f>VLOOKUP(J26,'SPRINT 0'!B45:K58,10,FALSE)</f>
        <v>#N/A</v>
      </c>
      <c r="P26" s="64" t="e">
        <f t="shared" si="0"/>
        <v>#REF!</v>
      </c>
      <c r="Q26" s="64" t="e">
        <f t="shared" si="1"/>
        <v>#N/A</v>
      </c>
    </row>
    <row r="27" spans="3:17" x14ac:dyDescent="0.2">
      <c r="C27" s="140"/>
      <c r="D27" s="60"/>
      <c r="E27" s="61"/>
      <c r="F27" s="61"/>
      <c r="G27" s="140"/>
      <c r="H27" s="140"/>
      <c r="I27" s="62"/>
      <c r="J27" s="33"/>
      <c r="K27" s="34"/>
      <c r="L27" s="34"/>
      <c r="O27" s="64" t="e">
        <f>VLOOKUP(J27,'SPRINT 0'!B45:K59,10,FALSE)</f>
        <v>#N/A</v>
      </c>
      <c r="P27" s="64" t="e">
        <f t="shared" si="0"/>
        <v>#REF!</v>
      </c>
      <c r="Q27" s="64" t="e">
        <f t="shared" si="1"/>
        <v>#N/A</v>
      </c>
    </row>
    <row r="28" spans="3:17" x14ac:dyDescent="0.2">
      <c r="C28" s="140"/>
      <c r="D28" s="60"/>
      <c r="E28" s="61"/>
      <c r="F28" s="61"/>
      <c r="G28" s="140"/>
      <c r="H28" s="140"/>
      <c r="I28" s="62"/>
      <c r="J28" s="33"/>
      <c r="K28" s="34"/>
      <c r="L28" s="34"/>
      <c r="O28" s="64" t="e">
        <f>VLOOKUP(J28,'SPRINT 0'!B45:K60,10,FALSE)</f>
        <v>#N/A</v>
      </c>
      <c r="P28" s="64" t="e">
        <f t="shared" si="0"/>
        <v>#REF!</v>
      </c>
      <c r="Q28" s="64" t="e">
        <f t="shared" si="1"/>
        <v>#N/A</v>
      </c>
    </row>
    <row r="29" spans="3:17" x14ac:dyDescent="0.2">
      <c r="C29" s="140"/>
      <c r="D29" s="60"/>
      <c r="E29" s="61"/>
      <c r="F29" s="61"/>
      <c r="G29" s="140"/>
      <c r="H29" s="140"/>
      <c r="I29" s="62"/>
      <c r="J29" s="33"/>
      <c r="K29" s="34"/>
      <c r="L29" s="34"/>
      <c r="O29" s="64" t="e">
        <f>VLOOKUP(J29,'SPRINT 0'!B45:K61,10,FALSE)</f>
        <v>#N/A</v>
      </c>
      <c r="P29" s="64" t="e">
        <f t="shared" si="0"/>
        <v>#REF!</v>
      </c>
      <c r="Q29" s="64" t="e">
        <f t="shared" si="1"/>
        <v>#N/A</v>
      </c>
    </row>
    <row r="30" spans="3:17" x14ac:dyDescent="0.2">
      <c r="C30" s="140"/>
      <c r="D30" s="60"/>
      <c r="E30" s="61"/>
      <c r="F30" s="61"/>
      <c r="G30" s="140"/>
      <c r="H30" s="140"/>
      <c r="I30" s="62"/>
      <c r="J30" s="33"/>
      <c r="K30" s="34"/>
      <c r="L30" s="34"/>
      <c r="O30" s="64" t="e">
        <f>VLOOKUP(J30,'SPRINT 0'!B45:K62,10,FALSE)</f>
        <v>#N/A</v>
      </c>
      <c r="P30" s="64" t="e">
        <f t="shared" si="0"/>
        <v>#REF!</v>
      </c>
      <c r="Q30" s="64" t="e">
        <f t="shared" si="1"/>
        <v>#N/A</v>
      </c>
    </row>
    <row r="31" spans="3:17" ht="15" x14ac:dyDescent="0.25">
      <c r="C31" s="62"/>
      <c r="D31" s="62"/>
      <c r="E31" s="62"/>
      <c r="F31" s="61"/>
      <c r="G31" s="140"/>
      <c r="H31" s="140"/>
      <c r="I31" s="62"/>
      <c r="J31"/>
      <c r="K31"/>
      <c r="L31"/>
      <c r="Q31" s="38">
        <f>SUMIF(Q13:Q16,"=1")</f>
        <v>0</v>
      </c>
    </row>
    <row r="32" spans="3:17" ht="15" x14ac:dyDescent="0.25">
      <c r="C32" s="62"/>
      <c r="D32" s="62"/>
      <c r="E32" s="62"/>
      <c r="F32" s="61"/>
      <c r="G32" s="140"/>
      <c r="H32" s="140"/>
      <c r="I32" s="62"/>
      <c r="J32"/>
      <c r="K32"/>
    </row>
    <row r="33" spans="2:11" ht="15" x14ac:dyDescent="0.25">
      <c r="C33" s="62"/>
      <c r="D33" s="62"/>
      <c r="E33" s="62"/>
      <c r="F33" s="61"/>
      <c r="G33" s="140"/>
      <c r="H33" s="140"/>
      <c r="I33" s="62"/>
      <c r="J33"/>
      <c r="K33"/>
    </row>
    <row r="34" spans="2:11" x14ac:dyDescent="0.2">
      <c r="C34" s="62"/>
      <c r="D34" s="62"/>
      <c r="E34" s="62"/>
      <c r="F34" s="61"/>
      <c r="G34" s="140"/>
      <c r="H34" s="140"/>
      <c r="I34" s="62"/>
    </row>
    <row r="35" spans="2:11" x14ac:dyDescent="0.2">
      <c r="C35" s="62"/>
      <c r="D35" s="62"/>
      <c r="E35" s="62"/>
      <c r="F35" s="61"/>
      <c r="G35" s="140"/>
      <c r="H35" s="140"/>
      <c r="I35" s="62"/>
    </row>
    <row r="36" spans="2:11" x14ac:dyDescent="0.2">
      <c r="C36" s="62"/>
      <c r="D36" s="62"/>
      <c r="E36" s="62"/>
      <c r="F36" s="61"/>
      <c r="G36" s="140"/>
      <c r="H36" s="140"/>
      <c r="I36" s="62"/>
    </row>
    <row r="37" spans="2:11" x14ac:dyDescent="0.2">
      <c r="C37" s="62"/>
      <c r="D37" s="62"/>
      <c r="E37" s="62"/>
      <c r="F37" s="61"/>
      <c r="G37" s="140"/>
      <c r="H37" s="140"/>
      <c r="I37" s="62"/>
    </row>
    <row r="38" spans="2:11" x14ac:dyDescent="0.2">
      <c r="C38" s="62"/>
      <c r="D38" s="62"/>
      <c r="E38" s="62"/>
      <c r="F38" s="61"/>
      <c r="G38" s="140"/>
      <c r="H38" s="140"/>
      <c r="I38" s="62"/>
    </row>
    <row r="39" spans="2:11" x14ac:dyDescent="0.2">
      <c r="G39" s="52">
        <f>SUM(G13:G38)</f>
        <v>0</v>
      </c>
      <c r="H39" s="52">
        <f>SUM(H13:H38)</f>
        <v>0</v>
      </c>
      <c r="I39" s="115"/>
    </row>
    <row r="40" spans="2:11" x14ac:dyDescent="0.2">
      <c r="I40" s="39"/>
    </row>
    <row r="41" spans="2:11" ht="15" customHeight="1" x14ac:dyDescent="0.2">
      <c r="B41" s="216" t="s">
        <v>88</v>
      </c>
      <c r="C41" s="217"/>
      <c r="D41" s="217"/>
      <c r="E41" s="217"/>
      <c r="F41" s="217"/>
      <c r="G41" s="217"/>
      <c r="H41" s="217"/>
      <c r="I41" s="217"/>
    </row>
    <row r="42" spans="2:11" ht="25.5" customHeight="1" x14ac:dyDescent="0.2">
      <c r="B42" s="43" t="s">
        <v>2</v>
      </c>
      <c r="C42" s="49" t="s">
        <v>92</v>
      </c>
      <c r="D42" s="218" t="s">
        <v>89</v>
      </c>
      <c r="E42" s="219"/>
      <c r="F42" s="220" t="s">
        <v>53</v>
      </c>
      <c r="G42" s="221"/>
      <c r="H42" s="43" t="s">
        <v>91</v>
      </c>
      <c r="I42" s="49" t="s">
        <v>90</v>
      </c>
    </row>
    <row r="43" spans="2:11" x14ac:dyDescent="0.2">
      <c r="B43" s="140">
        <v>1</v>
      </c>
      <c r="C43" s="140"/>
      <c r="D43" s="212"/>
      <c r="E43" s="213"/>
      <c r="F43" s="214"/>
      <c r="G43" s="214"/>
      <c r="H43" s="140"/>
      <c r="I43" s="62"/>
    </row>
    <row r="44" spans="2:11" x14ac:dyDescent="0.2">
      <c r="B44" s="140">
        <v>2</v>
      </c>
      <c r="C44" s="140"/>
      <c r="D44" s="212"/>
      <c r="E44" s="213"/>
      <c r="F44" s="214"/>
      <c r="G44" s="214"/>
      <c r="H44" s="140"/>
      <c r="I44" s="62"/>
    </row>
    <row r="45" spans="2:11" x14ac:dyDescent="0.2">
      <c r="B45" s="140">
        <v>3</v>
      </c>
      <c r="C45" s="140"/>
      <c r="D45" s="212"/>
      <c r="E45" s="213"/>
      <c r="F45" s="214"/>
      <c r="G45" s="214"/>
      <c r="H45" s="140"/>
      <c r="I45" s="62"/>
    </row>
    <row r="46" spans="2:11" x14ac:dyDescent="0.2">
      <c r="B46" s="140">
        <v>4</v>
      </c>
      <c r="C46" s="140"/>
      <c r="D46" s="212"/>
      <c r="E46" s="213"/>
      <c r="F46" s="214"/>
      <c r="G46" s="214"/>
      <c r="H46" s="140"/>
      <c r="I46" s="62"/>
    </row>
    <row r="47" spans="2:11" x14ac:dyDescent="0.2">
      <c r="B47" s="140">
        <v>5</v>
      </c>
      <c r="C47" s="140"/>
      <c r="D47" s="212"/>
      <c r="E47" s="213"/>
      <c r="F47" s="214"/>
      <c r="G47" s="214"/>
      <c r="H47" s="140"/>
      <c r="I47" s="62"/>
    </row>
  </sheetData>
  <sheetProtection insertRows="0" deleteRows="0"/>
  <mergeCells count="14">
    <mergeCell ref="B7:I7"/>
    <mergeCell ref="B41:I41"/>
    <mergeCell ref="D42:E42"/>
    <mergeCell ref="F42:G42"/>
    <mergeCell ref="D43:E43"/>
    <mergeCell ref="F43:G43"/>
    <mergeCell ref="D47:E47"/>
    <mergeCell ref="F47:G47"/>
    <mergeCell ref="D44:E44"/>
    <mergeCell ref="F44:G44"/>
    <mergeCell ref="D45:E45"/>
    <mergeCell ref="F45:G45"/>
    <mergeCell ref="D46:E46"/>
    <mergeCell ref="F46:G46"/>
  </mergeCells>
  <conditionalFormatting sqref="I40 D9">
    <cfRule type="cellIs" dxfId="104" priority="1" operator="equal">
      <formula>"OK"</formula>
    </cfRule>
    <cfRule type="cellIs" dxfId="103" priority="2" operator="equal">
      <formula>"ERROR"</formula>
    </cfRule>
  </conditionalFormatting>
  <dataValidations count="1">
    <dataValidation type="list" allowBlank="1" showInputMessage="1" showErrorMessage="1" sqref="H43:H47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571500</xdr:colOff>
                    <xdr:row>7</xdr:row>
                    <xdr:rowOff>104775</xdr:rowOff>
                  </from>
                  <to>
                    <xdr:col>4</xdr:col>
                    <xdr:colOff>1447800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7:Q47"/>
  <sheetViews>
    <sheetView showGridLines="0" view="pageBreakPreview" zoomScaleNormal="100" zoomScaleSheetLayoutView="100" workbookViewId="0">
      <selection activeCell="B8" sqref="B8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15" t="s">
        <v>217</v>
      </c>
      <c r="C7" s="215"/>
      <c r="D7" s="215"/>
      <c r="E7" s="215"/>
      <c r="F7" s="215"/>
      <c r="G7" s="215"/>
      <c r="H7" s="215"/>
      <c r="I7" s="215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IF(Q31&gt;0,"ERROR","OK")</f>
        <v>OK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14" t="s">
        <v>157</v>
      </c>
      <c r="H12" s="13" t="s">
        <v>158</v>
      </c>
      <c r="I12" s="13" t="s">
        <v>159</v>
      </c>
      <c r="J12" s="51" t="s">
        <v>40</v>
      </c>
      <c r="K12" s="29" t="s">
        <v>49</v>
      </c>
      <c r="L12" s="29" t="s">
        <v>167</v>
      </c>
      <c r="O12" s="36" t="s">
        <v>50</v>
      </c>
      <c r="P12" s="36" t="s">
        <v>51</v>
      </c>
      <c r="Q12" s="36" t="s">
        <v>52</v>
      </c>
    </row>
    <row r="13" spans="2:17" x14ac:dyDescent="0.2">
      <c r="C13" s="140">
        <v>1</v>
      </c>
      <c r="D13" s="60">
        <v>1</v>
      </c>
      <c r="E13" s="61" t="s">
        <v>170</v>
      </c>
      <c r="F13" s="61"/>
      <c r="G13" s="140"/>
      <c r="H13" s="140"/>
      <c r="I13" s="62" t="s">
        <v>154</v>
      </c>
      <c r="J13" s="33">
        <v>1</v>
      </c>
      <c r="K13" s="34">
        <v>1</v>
      </c>
      <c r="L13" s="34"/>
      <c r="O13" s="64">
        <f>VLOOKUP(J13,'SPRINT 0'!B27:K45,10,FALSE)</f>
        <v>24</v>
      </c>
      <c r="P13" s="64">
        <f>GETPIVOTDATA("Suma de HH PLANIFICADA",$J$12,"N° REQM",J13)</f>
        <v>0</v>
      </c>
      <c r="Q13" s="64">
        <f>IF(O13&gt;=P13,0,1)</f>
        <v>0</v>
      </c>
    </row>
    <row r="14" spans="2:17" x14ac:dyDescent="0.2">
      <c r="C14" s="140">
        <v>2</v>
      </c>
      <c r="D14" s="60">
        <v>2</v>
      </c>
      <c r="E14" s="61" t="s">
        <v>171</v>
      </c>
      <c r="F14" s="61"/>
      <c r="G14" s="140"/>
      <c r="H14" s="140"/>
      <c r="I14" s="62" t="s">
        <v>154</v>
      </c>
      <c r="J14" s="33">
        <v>2</v>
      </c>
      <c r="K14" s="34">
        <v>1</v>
      </c>
      <c r="L14" s="34"/>
      <c r="O14" s="64">
        <f>VLOOKUP(J14,'SPRINT 0'!B28:K46,10,FALSE)</f>
        <v>16</v>
      </c>
      <c r="P14" s="64">
        <f t="shared" ref="P14:P30" si="0">GETPIVOTDATA("Suma de HH PLANIFICADA",$J$12,"N° REQM",J14)</f>
        <v>0</v>
      </c>
      <c r="Q14" s="64">
        <f>IF(O14&gt;=P14,0,1)</f>
        <v>0</v>
      </c>
    </row>
    <row r="15" spans="2:17" x14ac:dyDescent="0.2">
      <c r="C15" s="140">
        <v>3</v>
      </c>
      <c r="D15" s="60">
        <v>3</v>
      </c>
      <c r="E15" s="61" t="s">
        <v>201</v>
      </c>
      <c r="F15" s="61"/>
      <c r="G15" s="140"/>
      <c r="H15" s="140"/>
      <c r="I15" s="62" t="s">
        <v>154</v>
      </c>
      <c r="J15" s="33">
        <v>3</v>
      </c>
      <c r="K15" s="34">
        <v>2</v>
      </c>
      <c r="L15" s="34"/>
      <c r="O15" s="64">
        <f>VLOOKUP(J15,'SPRINT 0'!B29:K47,10,FALSE)</f>
        <v>16</v>
      </c>
      <c r="P15" s="64">
        <f t="shared" si="0"/>
        <v>0</v>
      </c>
      <c r="Q15" s="64">
        <f>IF(O15&gt;=P15,0,1)</f>
        <v>0</v>
      </c>
    </row>
    <row r="16" spans="2:17" x14ac:dyDescent="0.2">
      <c r="C16" s="140">
        <v>3</v>
      </c>
      <c r="D16" s="60">
        <v>4</v>
      </c>
      <c r="E16" s="61" t="s">
        <v>202</v>
      </c>
      <c r="F16" s="61"/>
      <c r="G16" s="140"/>
      <c r="H16" s="140"/>
      <c r="I16" s="62" t="s">
        <v>154</v>
      </c>
      <c r="J16" s="33">
        <v>4</v>
      </c>
      <c r="K16" s="34">
        <v>2</v>
      </c>
      <c r="L16" s="34"/>
      <c r="O16" s="64">
        <f>VLOOKUP(J16,'SPRINT 0'!B30:K48,10,FALSE)</f>
        <v>24</v>
      </c>
      <c r="P16" s="64">
        <f t="shared" si="0"/>
        <v>0</v>
      </c>
      <c r="Q16" s="64">
        <f t="shared" ref="Q16:Q30" si="1">IF(O16&gt;=P16,0,1)</f>
        <v>0</v>
      </c>
    </row>
    <row r="17" spans="3:17" x14ac:dyDescent="0.2">
      <c r="C17" s="140">
        <v>4</v>
      </c>
      <c r="D17" s="60">
        <v>5</v>
      </c>
      <c r="E17" s="61" t="s">
        <v>203</v>
      </c>
      <c r="F17" s="61"/>
      <c r="G17" s="140"/>
      <c r="H17" s="140"/>
      <c r="I17" s="62" t="s">
        <v>154</v>
      </c>
      <c r="J17" s="33" t="s">
        <v>166</v>
      </c>
      <c r="K17" s="34"/>
      <c r="L17" s="34"/>
      <c r="O17" s="64" t="e">
        <f>VLOOKUP(J17,'SPRINT 0'!B31:K49,10,FALSE)</f>
        <v>#N/A</v>
      </c>
      <c r="P17" s="64">
        <f t="shared" si="0"/>
        <v>0</v>
      </c>
      <c r="Q17" s="64" t="e">
        <f t="shared" si="1"/>
        <v>#N/A</v>
      </c>
    </row>
    <row r="18" spans="3:17" x14ac:dyDescent="0.2">
      <c r="C18" s="140">
        <v>4</v>
      </c>
      <c r="D18" s="60">
        <v>6</v>
      </c>
      <c r="E18" s="61" t="s">
        <v>204</v>
      </c>
      <c r="F18" s="61"/>
      <c r="G18" s="140"/>
      <c r="H18" s="140"/>
      <c r="I18" s="62" t="s">
        <v>154</v>
      </c>
      <c r="J18" s="33">
        <v>5</v>
      </c>
      <c r="K18" s="34">
        <v>2</v>
      </c>
      <c r="L18" s="34"/>
      <c r="O18" s="64" t="e">
        <f>VLOOKUP(J18,'SPRINT 0'!B32:K50,10,FALSE)</f>
        <v>#N/A</v>
      </c>
      <c r="P18" s="64">
        <f t="shared" si="0"/>
        <v>0</v>
      </c>
      <c r="Q18" s="64" t="e">
        <f t="shared" si="1"/>
        <v>#N/A</v>
      </c>
    </row>
    <row r="19" spans="3:17" x14ac:dyDescent="0.2">
      <c r="C19" s="140">
        <v>5</v>
      </c>
      <c r="D19" s="60">
        <v>7</v>
      </c>
      <c r="E19" s="61" t="s">
        <v>178</v>
      </c>
      <c r="F19" s="61"/>
      <c r="G19" s="140"/>
      <c r="H19" s="140"/>
      <c r="I19" s="62" t="s">
        <v>154</v>
      </c>
      <c r="J19" s="33">
        <v>6</v>
      </c>
      <c r="K19" s="34">
        <v>2</v>
      </c>
      <c r="L19" s="34"/>
      <c r="O19" s="64" t="e">
        <f>VLOOKUP(J19,'SPRINT 0'!B33:K51,10,FALSE)</f>
        <v>#N/A</v>
      </c>
      <c r="P19" s="64">
        <f t="shared" si="0"/>
        <v>0</v>
      </c>
      <c r="Q19" s="64" t="e">
        <f t="shared" si="1"/>
        <v>#N/A</v>
      </c>
    </row>
    <row r="20" spans="3:17" x14ac:dyDescent="0.2">
      <c r="C20" s="140"/>
      <c r="D20" s="60"/>
      <c r="E20" s="61"/>
      <c r="F20" s="61"/>
      <c r="G20" s="140"/>
      <c r="H20" s="140"/>
      <c r="I20" s="62"/>
      <c r="J20" s="33">
        <v>7</v>
      </c>
      <c r="K20" s="34">
        <v>1</v>
      </c>
      <c r="L20" s="34"/>
      <c r="O20" s="64" t="e">
        <f>VLOOKUP(J20,'SPRINT 0'!B34:K52,10,FALSE)</f>
        <v>#N/A</v>
      </c>
      <c r="P20" s="64">
        <f t="shared" si="0"/>
        <v>0</v>
      </c>
      <c r="Q20" s="64" t="e">
        <f t="shared" si="1"/>
        <v>#N/A</v>
      </c>
    </row>
    <row r="21" spans="3:17" x14ac:dyDescent="0.2">
      <c r="C21" s="140"/>
      <c r="D21" s="60"/>
      <c r="E21" s="61"/>
      <c r="F21" s="61"/>
      <c r="G21" s="140"/>
      <c r="H21" s="140"/>
      <c r="I21" s="62"/>
      <c r="J21" s="33" t="s">
        <v>41</v>
      </c>
      <c r="K21" s="34">
        <v>11</v>
      </c>
      <c r="L21" s="34"/>
      <c r="O21" s="64" t="e">
        <f>VLOOKUP(J21,'SPRINT 0'!B35:K53,10,FALSE)</f>
        <v>#N/A</v>
      </c>
      <c r="P21" s="64" t="e">
        <f t="shared" si="0"/>
        <v>#REF!</v>
      </c>
      <c r="Q21" s="64" t="e">
        <f t="shared" si="1"/>
        <v>#N/A</v>
      </c>
    </row>
    <row r="22" spans="3:17" x14ac:dyDescent="0.2">
      <c r="C22" s="140"/>
      <c r="D22" s="60"/>
      <c r="E22" s="61"/>
      <c r="F22" s="61"/>
      <c r="G22" s="140"/>
      <c r="H22" s="140"/>
      <c r="I22" s="62"/>
      <c r="J22" s="33"/>
      <c r="K22" s="34"/>
      <c r="L22" s="34"/>
      <c r="O22" s="64" t="e">
        <f>VLOOKUP(J22,'SPRINT 0'!B36:K54,10,FALSE)</f>
        <v>#N/A</v>
      </c>
      <c r="P22" s="64" t="e">
        <f t="shared" si="0"/>
        <v>#REF!</v>
      </c>
      <c r="Q22" s="64" t="e">
        <f t="shared" si="1"/>
        <v>#N/A</v>
      </c>
    </row>
    <row r="23" spans="3:17" x14ac:dyDescent="0.2">
      <c r="C23" s="140"/>
      <c r="D23" s="60"/>
      <c r="E23" s="61"/>
      <c r="F23" s="61"/>
      <c r="G23" s="140"/>
      <c r="H23" s="140"/>
      <c r="I23" s="62"/>
      <c r="J23" s="33"/>
      <c r="K23" s="34"/>
      <c r="L23" s="34"/>
      <c r="O23" s="64" t="e">
        <f>VLOOKUP(J23,'SPRINT 0'!B45:K55,10,FALSE)</f>
        <v>#N/A</v>
      </c>
      <c r="P23" s="64" t="e">
        <f t="shared" si="0"/>
        <v>#REF!</v>
      </c>
      <c r="Q23" s="64" t="e">
        <f t="shared" si="1"/>
        <v>#N/A</v>
      </c>
    </row>
    <row r="24" spans="3:17" x14ac:dyDescent="0.2">
      <c r="C24" s="140"/>
      <c r="D24" s="60"/>
      <c r="E24" s="61"/>
      <c r="F24" s="61"/>
      <c r="G24" s="140"/>
      <c r="H24" s="140"/>
      <c r="I24" s="62"/>
      <c r="J24" s="33"/>
      <c r="K24" s="34"/>
      <c r="L24" s="34"/>
      <c r="O24" s="64" t="e">
        <f>VLOOKUP(J24,'SPRINT 0'!B45:K56,10,FALSE)</f>
        <v>#N/A</v>
      </c>
      <c r="P24" s="64" t="e">
        <f t="shared" si="0"/>
        <v>#REF!</v>
      </c>
      <c r="Q24" s="64" t="e">
        <f t="shared" si="1"/>
        <v>#N/A</v>
      </c>
    </row>
    <row r="25" spans="3:17" x14ac:dyDescent="0.2">
      <c r="C25" s="140"/>
      <c r="D25" s="60"/>
      <c r="E25" s="61"/>
      <c r="F25" s="61"/>
      <c r="G25" s="140"/>
      <c r="H25" s="140"/>
      <c r="I25" s="62"/>
      <c r="J25" s="33"/>
      <c r="K25" s="34"/>
      <c r="L25" s="34"/>
      <c r="O25" s="64" t="e">
        <f>VLOOKUP(J25,'SPRINT 0'!B45:K57,10,FALSE)</f>
        <v>#N/A</v>
      </c>
      <c r="P25" s="64" t="e">
        <f t="shared" si="0"/>
        <v>#REF!</v>
      </c>
      <c r="Q25" s="64" t="e">
        <f t="shared" si="1"/>
        <v>#N/A</v>
      </c>
    </row>
    <row r="26" spans="3:17" x14ac:dyDescent="0.2">
      <c r="C26" s="140"/>
      <c r="D26" s="60"/>
      <c r="E26" s="61"/>
      <c r="F26" s="61"/>
      <c r="G26" s="140"/>
      <c r="H26" s="140"/>
      <c r="I26" s="62"/>
      <c r="J26" s="33"/>
      <c r="K26" s="34"/>
      <c r="L26" s="34"/>
      <c r="O26" s="64" t="e">
        <f>VLOOKUP(J26,'SPRINT 0'!B45:K58,10,FALSE)</f>
        <v>#N/A</v>
      </c>
      <c r="P26" s="64" t="e">
        <f t="shared" si="0"/>
        <v>#REF!</v>
      </c>
      <c r="Q26" s="64" t="e">
        <f t="shared" si="1"/>
        <v>#N/A</v>
      </c>
    </row>
    <row r="27" spans="3:17" x14ac:dyDescent="0.2">
      <c r="C27" s="140"/>
      <c r="D27" s="60"/>
      <c r="E27" s="61"/>
      <c r="F27" s="61"/>
      <c r="G27" s="140"/>
      <c r="H27" s="140"/>
      <c r="I27" s="62"/>
      <c r="J27" s="33"/>
      <c r="K27" s="34"/>
      <c r="L27" s="34"/>
      <c r="O27" s="64" t="e">
        <f>VLOOKUP(J27,'SPRINT 0'!B45:K59,10,FALSE)</f>
        <v>#N/A</v>
      </c>
      <c r="P27" s="64" t="e">
        <f t="shared" si="0"/>
        <v>#REF!</v>
      </c>
      <c r="Q27" s="64" t="e">
        <f t="shared" si="1"/>
        <v>#N/A</v>
      </c>
    </row>
    <row r="28" spans="3:17" x14ac:dyDescent="0.2">
      <c r="C28" s="140"/>
      <c r="D28" s="60"/>
      <c r="E28" s="61"/>
      <c r="F28" s="61"/>
      <c r="G28" s="140"/>
      <c r="H28" s="140"/>
      <c r="I28" s="62"/>
      <c r="J28" s="33"/>
      <c r="K28" s="34"/>
      <c r="L28" s="34"/>
      <c r="O28" s="64" t="e">
        <f>VLOOKUP(J28,'SPRINT 0'!B45:K60,10,FALSE)</f>
        <v>#N/A</v>
      </c>
      <c r="P28" s="64" t="e">
        <f t="shared" si="0"/>
        <v>#REF!</v>
      </c>
      <c r="Q28" s="64" t="e">
        <f t="shared" si="1"/>
        <v>#N/A</v>
      </c>
    </row>
    <row r="29" spans="3:17" x14ac:dyDescent="0.2">
      <c r="C29" s="140"/>
      <c r="D29" s="60"/>
      <c r="E29" s="61"/>
      <c r="F29" s="61"/>
      <c r="G29" s="140"/>
      <c r="H29" s="140"/>
      <c r="I29" s="62"/>
      <c r="J29" s="33"/>
      <c r="K29" s="34"/>
      <c r="L29" s="34"/>
      <c r="O29" s="64" t="e">
        <f>VLOOKUP(J29,'SPRINT 0'!B45:K61,10,FALSE)</f>
        <v>#N/A</v>
      </c>
      <c r="P29" s="64" t="e">
        <f t="shared" si="0"/>
        <v>#REF!</v>
      </c>
      <c r="Q29" s="64" t="e">
        <f t="shared" si="1"/>
        <v>#N/A</v>
      </c>
    </row>
    <row r="30" spans="3:17" x14ac:dyDescent="0.2">
      <c r="C30" s="140"/>
      <c r="D30" s="60"/>
      <c r="E30" s="61"/>
      <c r="F30" s="61"/>
      <c r="G30" s="140"/>
      <c r="H30" s="140"/>
      <c r="I30" s="62"/>
      <c r="J30" s="33"/>
      <c r="K30" s="34"/>
      <c r="L30" s="34"/>
      <c r="O30" s="64" t="e">
        <f>VLOOKUP(J30,'SPRINT 0'!B45:K62,10,FALSE)</f>
        <v>#N/A</v>
      </c>
      <c r="P30" s="64" t="e">
        <f t="shared" si="0"/>
        <v>#REF!</v>
      </c>
      <c r="Q30" s="64" t="e">
        <f t="shared" si="1"/>
        <v>#N/A</v>
      </c>
    </row>
    <row r="31" spans="3:17" ht="15" x14ac:dyDescent="0.25">
      <c r="C31" s="62"/>
      <c r="D31" s="62"/>
      <c r="E31" s="62"/>
      <c r="F31" s="61"/>
      <c r="G31" s="140"/>
      <c r="H31" s="140"/>
      <c r="I31" s="62"/>
      <c r="J31"/>
      <c r="K31"/>
      <c r="L31"/>
      <c r="Q31" s="38">
        <f>SUMIF(Q13:Q16,"=1")</f>
        <v>0</v>
      </c>
    </row>
    <row r="32" spans="3:17" ht="15" x14ac:dyDescent="0.25">
      <c r="C32" s="62"/>
      <c r="D32" s="62"/>
      <c r="E32" s="62"/>
      <c r="F32" s="61"/>
      <c r="G32" s="140"/>
      <c r="H32" s="140"/>
      <c r="I32" s="62"/>
      <c r="J32"/>
      <c r="K32"/>
    </row>
    <row r="33" spans="2:11" ht="15" x14ac:dyDescent="0.25">
      <c r="C33" s="62"/>
      <c r="D33" s="62"/>
      <c r="E33" s="62"/>
      <c r="F33" s="61"/>
      <c r="G33" s="140"/>
      <c r="H33" s="140"/>
      <c r="I33" s="62"/>
      <c r="J33"/>
      <c r="K33"/>
    </row>
    <row r="34" spans="2:11" x14ac:dyDescent="0.2">
      <c r="C34" s="62"/>
      <c r="D34" s="62"/>
      <c r="E34" s="62"/>
      <c r="F34" s="61"/>
      <c r="G34" s="140"/>
      <c r="H34" s="140"/>
      <c r="I34" s="62"/>
    </row>
    <row r="35" spans="2:11" x14ac:dyDescent="0.2">
      <c r="C35" s="62"/>
      <c r="D35" s="62"/>
      <c r="E35" s="62"/>
      <c r="F35" s="61"/>
      <c r="G35" s="140"/>
      <c r="H35" s="140"/>
      <c r="I35" s="62"/>
    </row>
    <row r="36" spans="2:11" x14ac:dyDescent="0.2">
      <c r="C36" s="62"/>
      <c r="D36" s="62"/>
      <c r="E36" s="62"/>
      <c r="F36" s="61"/>
      <c r="G36" s="140"/>
      <c r="H36" s="140"/>
      <c r="I36" s="62"/>
    </row>
    <row r="37" spans="2:11" x14ac:dyDescent="0.2">
      <c r="C37" s="62"/>
      <c r="D37" s="62"/>
      <c r="E37" s="62"/>
      <c r="F37" s="61"/>
      <c r="G37" s="140"/>
      <c r="H37" s="140"/>
      <c r="I37" s="62"/>
    </row>
    <row r="38" spans="2:11" x14ac:dyDescent="0.2">
      <c r="C38" s="62"/>
      <c r="D38" s="62"/>
      <c r="E38" s="62"/>
      <c r="F38" s="61"/>
      <c r="G38" s="140"/>
      <c r="H38" s="140"/>
      <c r="I38" s="62"/>
    </row>
    <row r="39" spans="2:11" x14ac:dyDescent="0.2">
      <c r="G39" s="52">
        <f>SUM(G13:G38)</f>
        <v>0</v>
      </c>
      <c r="H39" s="52">
        <f>SUM(H13:H38)</f>
        <v>0</v>
      </c>
      <c r="I39" s="115"/>
    </row>
    <row r="40" spans="2:11" x14ac:dyDescent="0.2">
      <c r="I40" s="39"/>
    </row>
    <row r="41" spans="2:11" ht="15" customHeight="1" x14ac:dyDescent="0.2">
      <c r="B41" s="216" t="s">
        <v>88</v>
      </c>
      <c r="C41" s="217"/>
      <c r="D41" s="217"/>
      <c r="E41" s="217"/>
      <c r="F41" s="217"/>
      <c r="G41" s="217"/>
      <c r="H41" s="217"/>
      <c r="I41" s="217"/>
    </row>
    <row r="42" spans="2:11" ht="25.5" customHeight="1" x14ac:dyDescent="0.2">
      <c r="B42" s="43" t="s">
        <v>2</v>
      </c>
      <c r="C42" s="49" t="s">
        <v>92</v>
      </c>
      <c r="D42" s="218" t="s">
        <v>89</v>
      </c>
      <c r="E42" s="219"/>
      <c r="F42" s="220" t="s">
        <v>53</v>
      </c>
      <c r="G42" s="221"/>
      <c r="H42" s="43" t="s">
        <v>91</v>
      </c>
      <c r="I42" s="49" t="s">
        <v>90</v>
      </c>
    </row>
    <row r="43" spans="2:11" x14ac:dyDescent="0.2">
      <c r="B43" s="140">
        <v>1</v>
      </c>
      <c r="C43" s="140"/>
      <c r="D43" s="212"/>
      <c r="E43" s="213"/>
      <c r="F43" s="214"/>
      <c r="G43" s="214"/>
      <c r="H43" s="140"/>
      <c r="I43" s="62"/>
    </row>
    <row r="44" spans="2:11" x14ac:dyDescent="0.2">
      <c r="B44" s="140">
        <v>2</v>
      </c>
      <c r="C44" s="140"/>
      <c r="D44" s="212"/>
      <c r="E44" s="213"/>
      <c r="F44" s="214"/>
      <c r="G44" s="214"/>
      <c r="H44" s="140"/>
      <c r="I44" s="62"/>
    </row>
    <row r="45" spans="2:11" x14ac:dyDescent="0.2">
      <c r="B45" s="140">
        <v>3</v>
      </c>
      <c r="C45" s="140"/>
      <c r="D45" s="212"/>
      <c r="E45" s="213"/>
      <c r="F45" s="214"/>
      <c r="G45" s="214"/>
      <c r="H45" s="140"/>
      <c r="I45" s="62"/>
    </row>
    <row r="46" spans="2:11" x14ac:dyDescent="0.2">
      <c r="B46" s="140">
        <v>4</v>
      </c>
      <c r="C46" s="140"/>
      <c r="D46" s="212"/>
      <c r="E46" s="213"/>
      <c r="F46" s="214"/>
      <c r="G46" s="214"/>
      <c r="H46" s="140"/>
      <c r="I46" s="62"/>
    </row>
    <row r="47" spans="2:11" x14ac:dyDescent="0.2">
      <c r="B47" s="140">
        <v>5</v>
      </c>
      <c r="C47" s="140"/>
      <c r="D47" s="212"/>
      <c r="E47" s="213"/>
      <c r="F47" s="214"/>
      <c r="G47" s="214"/>
      <c r="H47" s="140"/>
      <c r="I47" s="62"/>
    </row>
  </sheetData>
  <sheetProtection insertRows="0" deleteRows="0"/>
  <mergeCells count="14">
    <mergeCell ref="B7:I7"/>
    <mergeCell ref="B41:I41"/>
    <mergeCell ref="D42:E42"/>
    <mergeCell ref="F42:G42"/>
    <mergeCell ref="D43:E43"/>
    <mergeCell ref="F43:G43"/>
    <mergeCell ref="D47:E47"/>
    <mergeCell ref="F47:G47"/>
    <mergeCell ref="D44:E44"/>
    <mergeCell ref="F44:G44"/>
    <mergeCell ref="D45:E45"/>
    <mergeCell ref="F45:G45"/>
    <mergeCell ref="D46:E46"/>
    <mergeCell ref="F46:G46"/>
  </mergeCells>
  <conditionalFormatting sqref="I40 D9">
    <cfRule type="cellIs" dxfId="90" priority="1" operator="equal">
      <formula>"OK"</formula>
    </cfRule>
    <cfRule type="cellIs" dxfId="89" priority="2" operator="equal">
      <formula>"ERROR"</formula>
    </cfRule>
  </conditionalFormatting>
  <dataValidations count="1">
    <dataValidation type="list" allowBlank="1" showInputMessage="1" showErrorMessage="1" sqref="H43:H47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571500</xdr:colOff>
                    <xdr:row>7</xdr:row>
                    <xdr:rowOff>104775</xdr:rowOff>
                  </from>
                  <to>
                    <xdr:col>4</xdr:col>
                    <xdr:colOff>1447800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7:Q47"/>
  <sheetViews>
    <sheetView showGridLines="0" view="pageBreakPreview" zoomScaleNormal="100" zoomScaleSheetLayoutView="100" workbookViewId="0">
      <selection activeCell="B8" sqref="B8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15" t="s">
        <v>218</v>
      </c>
      <c r="C7" s="215"/>
      <c r="D7" s="215"/>
      <c r="E7" s="215"/>
      <c r="F7" s="215"/>
      <c r="G7" s="215"/>
      <c r="H7" s="215"/>
      <c r="I7" s="215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IF(Q31&gt;0,"ERROR","OK")</f>
        <v>OK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14" t="s">
        <v>157</v>
      </c>
      <c r="H12" s="13" t="s">
        <v>158</v>
      </c>
      <c r="I12" s="13" t="s">
        <v>159</v>
      </c>
      <c r="J12" s="51" t="s">
        <v>40</v>
      </c>
      <c r="K12" s="29" t="s">
        <v>49</v>
      </c>
      <c r="L12" s="29" t="s">
        <v>167</v>
      </c>
      <c r="O12" s="36" t="s">
        <v>50</v>
      </c>
      <c r="P12" s="36" t="s">
        <v>51</v>
      </c>
      <c r="Q12" s="36" t="s">
        <v>52</v>
      </c>
    </row>
    <row r="13" spans="2:17" x14ac:dyDescent="0.2">
      <c r="C13" s="140">
        <v>1</v>
      </c>
      <c r="D13" s="60">
        <v>1</v>
      </c>
      <c r="E13" s="61" t="s">
        <v>170</v>
      </c>
      <c r="F13" s="61"/>
      <c r="G13" s="140"/>
      <c r="H13" s="140"/>
      <c r="I13" s="62" t="s">
        <v>154</v>
      </c>
      <c r="J13" s="33">
        <v>1</v>
      </c>
      <c r="K13" s="34">
        <v>1</v>
      </c>
      <c r="L13" s="34"/>
      <c r="O13" s="64">
        <f>VLOOKUP(J13,'SPRINT 0'!B27:K45,10,FALSE)</f>
        <v>24</v>
      </c>
      <c r="P13" s="64">
        <f>GETPIVOTDATA("Suma de HH PLANIFICADA",$J$12,"N° REQM",J13)</f>
        <v>0</v>
      </c>
      <c r="Q13" s="64">
        <f>IF(O13&gt;=P13,0,1)</f>
        <v>0</v>
      </c>
    </row>
    <row r="14" spans="2:17" x14ac:dyDescent="0.2">
      <c r="C14" s="140">
        <v>2</v>
      </c>
      <c r="D14" s="60">
        <v>2</v>
      </c>
      <c r="E14" s="61" t="s">
        <v>171</v>
      </c>
      <c r="F14" s="61"/>
      <c r="G14" s="140"/>
      <c r="H14" s="140"/>
      <c r="I14" s="62" t="s">
        <v>154</v>
      </c>
      <c r="J14" s="33">
        <v>2</v>
      </c>
      <c r="K14" s="34">
        <v>1</v>
      </c>
      <c r="L14" s="34"/>
      <c r="O14" s="64">
        <f>VLOOKUP(J14,'SPRINT 0'!B28:K46,10,FALSE)</f>
        <v>16</v>
      </c>
      <c r="P14" s="64">
        <f t="shared" ref="P14:P30" si="0">GETPIVOTDATA("Suma de HH PLANIFICADA",$J$12,"N° REQM",J14)</f>
        <v>0</v>
      </c>
      <c r="Q14" s="64">
        <f>IF(O14&gt;=P14,0,1)</f>
        <v>0</v>
      </c>
    </row>
    <row r="15" spans="2:17" x14ac:dyDescent="0.2">
      <c r="C15" s="140">
        <v>3</v>
      </c>
      <c r="D15" s="60">
        <v>3</v>
      </c>
      <c r="E15" s="61" t="s">
        <v>205</v>
      </c>
      <c r="F15" s="61"/>
      <c r="G15" s="140"/>
      <c r="H15" s="140"/>
      <c r="I15" s="62" t="s">
        <v>154</v>
      </c>
      <c r="J15" s="33">
        <v>3</v>
      </c>
      <c r="K15" s="34">
        <v>2</v>
      </c>
      <c r="L15" s="34"/>
      <c r="O15" s="64">
        <f>VLOOKUP(J15,'SPRINT 0'!B29:K47,10,FALSE)</f>
        <v>16</v>
      </c>
      <c r="P15" s="64">
        <f t="shared" si="0"/>
        <v>0</v>
      </c>
      <c r="Q15" s="64">
        <f>IF(O15&gt;=P15,0,1)</f>
        <v>0</v>
      </c>
    </row>
    <row r="16" spans="2:17" x14ac:dyDescent="0.2">
      <c r="C16" s="140">
        <v>4</v>
      </c>
      <c r="D16" s="60">
        <v>4</v>
      </c>
      <c r="E16" s="61" t="s">
        <v>206</v>
      </c>
      <c r="F16" s="61"/>
      <c r="G16" s="140"/>
      <c r="H16" s="140"/>
      <c r="I16" s="62" t="s">
        <v>154</v>
      </c>
      <c r="J16" s="33">
        <v>4</v>
      </c>
      <c r="K16" s="34">
        <v>2</v>
      </c>
      <c r="L16" s="34"/>
      <c r="O16" s="64">
        <f>VLOOKUP(J16,'SPRINT 0'!B30:K48,10,FALSE)</f>
        <v>24</v>
      </c>
      <c r="P16" s="64">
        <f t="shared" si="0"/>
        <v>0</v>
      </c>
      <c r="Q16" s="64">
        <f t="shared" ref="Q16:Q30" si="1">IF(O16&gt;=P16,0,1)</f>
        <v>0</v>
      </c>
    </row>
    <row r="17" spans="3:17" x14ac:dyDescent="0.2">
      <c r="C17" s="140">
        <v>5</v>
      </c>
      <c r="D17" s="60">
        <v>5</v>
      </c>
      <c r="E17" s="61" t="s">
        <v>207</v>
      </c>
      <c r="F17" s="61"/>
      <c r="G17" s="140"/>
      <c r="H17" s="140"/>
      <c r="I17" s="62" t="s">
        <v>154</v>
      </c>
      <c r="J17" s="33" t="s">
        <v>166</v>
      </c>
      <c r="K17" s="34"/>
      <c r="L17" s="34"/>
      <c r="O17" s="64" t="e">
        <f>VLOOKUP(J17,'SPRINT 0'!B31:K49,10,FALSE)</f>
        <v>#N/A</v>
      </c>
      <c r="P17" s="64">
        <f t="shared" si="0"/>
        <v>0</v>
      </c>
      <c r="Q17" s="64" t="e">
        <f t="shared" si="1"/>
        <v>#N/A</v>
      </c>
    </row>
    <row r="18" spans="3:17" x14ac:dyDescent="0.2">
      <c r="C18" s="140">
        <v>6</v>
      </c>
      <c r="D18" s="60">
        <v>6</v>
      </c>
      <c r="E18" s="61" t="s">
        <v>208</v>
      </c>
      <c r="F18" s="61"/>
      <c r="G18" s="140"/>
      <c r="H18" s="140"/>
      <c r="I18" s="62" t="s">
        <v>154</v>
      </c>
      <c r="J18" s="33">
        <v>5</v>
      </c>
      <c r="K18" s="34">
        <v>2</v>
      </c>
      <c r="L18" s="34"/>
      <c r="O18" s="64" t="e">
        <f>VLOOKUP(J18,'SPRINT 0'!B32:K50,10,FALSE)</f>
        <v>#N/A</v>
      </c>
      <c r="P18" s="64">
        <f t="shared" si="0"/>
        <v>0</v>
      </c>
      <c r="Q18" s="64" t="e">
        <f t="shared" si="1"/>
        <v>#N/A</v>
      </c>
    </row>
    <row r="19" spans="3:17" x14ac:dyDescent="0.2">
      <c r="C19" s="140">
        <v>7</v>
      </c>
      <c r="D19" s="60">
        <v>7</v>
      </c>
      <c r="E19" s="61" t="s">
        <v>209</v>
      </c>
      <c r="F19" s="61"/>
      <c r="G19" s="140"/>
      <c r="H19" s="140"/>
      <c r="I19" s="62" t="s">
        <v>154</v>
      </c>
      <c r="J19" s="33">
        <v>6</v>
      </c>
      <c r="K19" s="34">
        <v>2</v>
      </c>
      <c r="L19" s="34"/>
      <c r="O19" s="64" t="e">
        <f>VLOOKUP(J19,'SPRINT 0'!B33:K51,10,FALSE)</f>
        <v>#N/A</v>
      </c>
      <c r="P19" s="64">
        <f t="shared" si="0"/>
        <v>0</v>
      </c>
      <c r="Q19" s="64" t="e">
        <f t="shared" si="1"/>
        <v>#N/A</v>
      </c>
    </row>
    <row r="20" spans="3:17" x14ac:dyDescent="0.2">
      <c r="C20" s="140">
        <v>8</v>
      </c>
      <c r="D20" s="60">
        <v>8</v>
      </c>
      <c r="E20" s="61" t="s">
        <v>210</v>
      </c>
      <c r="F20" s="61"/>
      <c r="G20" s="140"/>
      <c r="H20" s="140"/>
      <c r="I20" s="62" t="s">
        <v>154</v>
      </c>
      <c r="J20" s="33">
        <v>7</v>
      </c>
      <c r="K20" s="34">
        <v>1</v>
      </c>
      <c r="L20" s="34"/>
      <c r="O20" s="64" t="e">
        <f>VLOOKUP(J20,'SPRINT 0'!B34:K52,10,FALSE)</f>
        <v>#N/A</v>
      </c>
      <c r="P20" s="64">
        <f t="shared" si="0"/>
        <v>0</v>
      </c>
      <c r="Q20" s="64" t="e">
        <f t="shared" si="1"/>
        <v>#N/A</v>
      </c>
    </row>
    <row r="21" spans="3:17" x14ac:dyDescent="0.2">
      <c r="C21" s="140">
        <v>9</v>
      </c>
      <c r="D21" s="60">
        <v>9</v>
      </c>
      <c r="E21" s="61" t="s">
        <v>211</v>
      </c>
      <c r="F21" s="61"/>
      <c r="G21" s="140"/>
      <c r="H21" s="140"/>
      <c r="I21" s="62" t="s">
        <v>154</v>
      </c>
      <c r="J21" s="33" t="s">
        <v>41</v>
      </c>
      <c r="K21" s="34">
        <v>11</v>
      </c>
      <c r="L21" s="34"/>
      <c r="O21" s="64" t="e">
        <f>VLOOKUP(J21,'SPRINT 0'!B35:K53,10,FALSE)</f>
        <v>#N/A</v>
      </c>
      <c r="P21" s="64" t="e">
        <f t="shared" si="0"/>
        <v>#REF!</v>
      </c>
      <c r="Q21" s="64" t="e">
        <f t="shared" si="1"/>
        <v>#N/A</v>
      </c>
    </row>
    <row r="22" spans="3:17" x14ac:dyDescent="0.2">
      <c r="C22" s="140"/>
      <c r="D22" s="60"/>
      <c r="E22" s="61"/>
      <c r="F22" s="61"/>
      <c r="G22" s="140"/>
      <c r="H22" s="140"/>
      <c r="I22" s="62"/>
      <c r="J22" s="33"/>
      <c r="K22" s="34"/>
      <c r="L22" s="34"/>
      <c r="O22" s="64" t="e">
        <f>VLOOKUP(J22,'SPRINT 0'!B36:K54,10,FALSE)</f>
        <v>#N/A</v>
      </c>
      <c r="P22" s="64" t="e">
        <f t="shared" si="0"/>
        <v>#REF!</v>
      </c>
      <c r="Q22" s="64" t="e">
        <f t="shared" si="1"/>
        <v>#N/A</v>
      </c>
    </row>
    <row r="23" spans="3:17" x14ac:dyDescent="0.2">
      <c r="C23" s="140"/>
      <c r="D23" s="60"/>
      <c r="E23" s="61"/>
      <c r="F23" s="61"/>
      <c r="G23" s="140"/>
      <c r="H23" s="140"/>
      <c r="I23" s="62"/>
      <c r="J23" s="33"/>
      <c r="K23" s="34"/>
      <c r="L23" s="34"/>
      <c r="O23" s="64" t="e">
        <f>VLOOKUP(J23,'SPRINT 0'!B45:K55,10,FALSE)</f>
        <v>#N/A</v>
      </c>
      <c r="P23" s="64" t="e">
        <f t="shared" si="0"/>
        <v>#REF!</v>
      </c>
      <c r="Q23" s="64" t="e">
        <f t="shared" si="1"/>
        <v>#N/A</v>
      </c>
    </row>
    <row r="24" spans="3:17" x14ac:dyDescent="0.2">
      <c r="C24" s="140"/>
      <c r="D24" s="60"/>
      <c r="E24" s="61"/>
      <c r="F24" s="61"/>
      <c r="G24" s="140"/>
      <c r="H24" s="140"/>
      <c r="I24" s="62"/>
      <c r="J24" s="33"/>
      <c r="K24" s="34"/>
      <c r="L24" s="34"/>
      <c r="O24" s="64" t="e">
        <f>VLOOKUP(J24,'SPRINT 0'!B45:K56,10,FALSE)</f>
        <v>#N/A</v>
      </c>
      <c r="P24" s="64" t="e">
        <f t="shared" si="0"/>
        <v>#REF!</v>
      </c>
      <c r="Q24" s="64" t="e">
        <f t="shared" si="1"/>
        <v>#N/A</v>
      </c>
    </row>
    <row r="25" spans="3:17" x14ac:dyDescent="0.2">
      <c r="C25" s="140"/>
      <c r="D25" s="60"/>
      <c r="E25" s="61"/>
      <c r="F25" s="61"/>
      <c r="G25" s="140"/>
      <c r="H25" s="140"/>
      <c r="I25" s="62"/>
      <c r="J25" s="33"/>
      <c r="K25" s="34"/>
      <c r="L25" s="34"/>
      <c r="O25" s="64" t="e">
        <f>VLOOKUP(J25,'SPRINT 0'!B45:K57,10,FALSE)</f>
        <v>#N/A</v>
      </c>
      <c r="P25" s="64" t="e">
        <f t="shared" si="0"/>
        <v>#REF!</v>
      </c>
      <c r="Q25" s="64" t="e">
        <f t="shared" si="1"/>
        <v>#N/A</v>
      </c>
    </row>
    <row r="26" spans="3:17" x14ac:dyDescent="0.2">
      <c r="C26" s="140"/>
      <c r="D26" s="60"/>
      <c r="E26" s="61"/>
      <c r="F26" s="61"/>
      <c r="G26" s="140"/>
      <c r="H26" s="140"/>
      <c r="I26" s="62"/>
      <c r="J26" s="33"/>
      <c r="K26" s="34"/>
      <c r="L26" s="34"/>
      <c r="O26" s="64" t="e">
        <f>VLOOKUP(J26,'SPRINT 0'!B45:K58,10,FALSE)</f>
        <v>#N/A</v>
      </c>
      <c r="P26" s="64" t="e">
        <f t="shared" si="0"/>
        <v>#REF!</v>
      </c>
      <c r="Q26" s="64" t="e">
        <f t="shared" si="1"/>
        <v>#N/A</v>
      </c>
    </row>
    <row r="27" spans="3:17" x14ac:dyDescent="0.2">
      <c r="C27" s="140"/>
      <c r="D27" s="60"/>
      <c r="E27" s="61"/>
      <c r="F27" s="61"/>
      <c r="G27" s="140"/>
      <c r="H27" s="140"/>
      <c r="I27" s="62"/>
      <c r="J27" s="33"/>
      <c r="K27" s="34"/>
      <c r="L27" s="34"/>
      <c r="O27" s="64" t="e">
        <f>VLOOKUP(J27,'SPRINT 0'!B45:K59,10,FALSE)</f>
        <v>#N/A</v>
      </c>
      <c r="P27" s="64" t="e">
        <f t="shared" si="0"/>
        <v>#REF!</v>
      </c>
      <c r="Q27" s="64" t="e">
        <f t="shared" si="1"/>
        <v>#N/A</v>
      </c>
    </row>
    <row r="28" spans="3:17" x14ac:dyDescent="0.2">
      <c r="C28" s="140"/>
      <c r="D28" s="60"/>
      <c r="E28" s="61"/>
      <c r="F28" s="61"/>
      <c r="G28" s="140"/>
      <c r="H28" s="140"/>
      <c r="I28" s="62"/>
      <c r="J28" s="33"/>
      <c r="K28" s="34"/>
      <c r="L28" s="34"/>
      <c r="O28" s="64" t="e">
        <f>VLOOKUP(J28,'SPRINT 0'!B45:K60,10,FALSE)</f>
        <v>#N/A</v>
      </c>
      <c r="P28" s="64" t="e">
        <f t="shared" si="0"/>
        <v>#REF!</v>
      </c>
      <c r="Q28" s="64" t="e">
        <f t="shared" si="1"/>
        <v>#N/A</v>
      </c>
    </row>
    <row r="29" spans="3:17" x14ac:dyDescent="0.2">
      <c r="C29" s="140"/>
      <c r="D29" s="60"/>
      <c r="E29" s="61"/>
      <c r="F29" s="61"/>
      <c r="G29" s="140"/>
      <c r="H29" s="140"/>
      <c r="I29" s="62"/>
      <c r="J29" s="33"/>
      <c r="K29" s="34"/>
      <c r="L29" s="34"/>
      <c r="O29" s="64" t="e">
        <f>VLOOKUP(J29,'SPRINT 0'!B45:K61,10,FALSE)</f>
        <v>#N/A</v>
      </c>
      <c r="P29" s="64" t="e">
        <f t="shared" si="0"/>
        <v>#REF!</v>
      </c>
      <c r="Q29" s="64" t="e">
        <f t="shared" si="1"/>
        <v>#N/A</v>
      </c>
    </row>
    <row r="30" spans="3:17" x14ac:dyDescent="0.2">
      <c r="C30" s="140"/>
      <c r="D30" s="60"/>
      <c r="E30" s="61"/>
      <c r="F30" s="61"/>
      <c r="G30" s="140"/>
      <c r="H30" s="140"/>
      <c r="I30" s="62"/>
      <c r="J30" s="33"/>
      <c r="K30" s="34"/>
      <c r="L30" s="34"/>
      <c r="O30" s="64" t="e">
        <f>VLOOKUP(J30,'SPRINT 0'!B45:K62,10,FALSE)</f>
        <v>#N/A</v>
      </c>
      <c r="P30" s="64" t="e">
        <f t="shared" si="0"/>
        <v>#REF!</v>
      </c>
      <c r="Q30" s="64" t="e">
        <f t="shared" si="1"/>
        <v>#N/A</v>
      </c>
    </row>
    <row r="31" spans="3:17" ht="15" x14ac:dyDescent="0.25">
      <c r="C31" s="62"/>
      <c r="D31" s="62"/>
      <c r="E31" s="62"/>
      <c r="F31" s="61"/>
      <c r="G31" s="140"/>
      <c r="H31" s="140"/>
      <c r="I31" s="62"/>
      <c r="J31"/>
      <c r="K31"/>
      <c r="L31"/>
      <c r="Q31" s="38">
        <f>SUMIF(Q13:Q16,"=1")</f>
        <v>0</v>
      </c>
    </row>
    <row r="32" spans="3:17" ht="15" x14ac:dyDescent="0.25">
      <c r="C32" s="62"/>
      <c r="D32" s="62"/>
      <c r="E32" s="62"/>
      <c r="F32" s="61"/>
      <c r="G32" s="140"/>
      <c r="H32" s="140"/>
      <c r="I32" s="62"/>
      <c r="J32"/>
      <c r="K32"/>
    </row>
    <row r="33" spans="2:11" ht="15" x14ac:dyDescent="0.25">
      <c r="C33" s="62"/>
      <c r="D33" s="62"/>
      <c r="E33" s="62"/>
      <c r="F33" s="61"/>
      <c r="G33" s="140"/>
      <c r="H33" s="140"/>
      <c r="I33" s="62"/>
      <c r="J33"/>
      <c r="K33"/>
    </row>
    <row r="34" spans="2:11" x14ac:dyDescent="0.2">
      <c r="C34" s="62"/>
      <c r="D34" s="62"/>
      <c r="E34" s="62"/>
      <c r="F34" s="61"/>
      <c r="G34" s="140"/>
      <c r="H34" s="140"/>
      <c r="I34" s="62"/>
    </row>
    <row r="35" spans="2:11" x14ac:dyDescent="0.2">
      <c r="C35" s="62"/>
      <c r="D35" s="62"/>
      <c r="E35" s="62"/>
      <c r="F35" s="61"/>
      <c r="G35" s="140"/>
      <c r="H35" s="140"/>
      <c r="I35" s="62"/>
    </row>
    <row r="36" spans="2:11" x14ac:dyDescent="0.2">
      <c r="C36" s="62"/>
      <c r="D36" s="62"/>
      <c r="E36" s="62"/>
      <c r="F36" s="61"/>
      <c r="G36" s="140"/>
      <c r="H36" s="140"/>
      <c r="I36" s="62"/>
    </row>
    <row r="37" spans="2:11" x14ac:dyDescent="0.2">
      <c r="C37" s="62"/>
      <c r="D37" s="62"/>
      <c r="E37" s="62"/>
      <c r="F37" s="61"/>
      <c r="G37" s="140"/>
      <c r="H37" s="140"/>
      <c r="I37" s="62"/>
    </row>
    <row r="38" spans="2:11" x14ac:dyDescent="0.2">
      <c r="C38" s="62"/>
      <c r="D38" s="62"/>
      <c r="E38" s="62"/>
      <c r="F38" s="61"/>
      <c r="G38" s="140"/>
      <c r="H38" s="140"/>
      <c r="I38" s="62"/>
    </row>
    <row r="39" spans="2:11" x14ac:dyDescent="0.2">
      <c r="G39" s="52">
        <f>SUM(G13:G38)</f>
        <v>0</v>
      </c>
      <c r="H39" s="52">
        <f>SUM(H13:H38)</f>
        <v>0</v>
      </c>
      <c r="I39" s="115"/>
    </row>
    <row r="40" spans="2:11" x14ac:dyDescent="0.2">
      <c r="I40" s="39"/>
    </row>
    <row r="41" spans="2:11" ht="15" customHeight="1" x14ac:dyDescent="0.2">
      <c r="B41" s="216" t="s">
        <v>88</v>
      </c>
      <c r="C41" s="217"/>
      <c r="D41" s="217"/>
      <c r="E41" s="217"/>
      <c r="F41" s="217"/>
      <c r="G41" s="217"/>
      <c r="H41" s="217"/>
      <c r="I41" s="217"/>
    </row>
    <row r="42" spans="2:11" ht="25.5" customHeight="1" x14ac:dyDescent="0.2">
      <c r="B42" s="43" t="s">
        <v>2</v>
      </c>
      <c r="C42" s="49" t="s">
        <v>92</v>
      </c>
      <c r="D42" s="218" t="s">
        <v>89</v>
      </c>
      <c r="E42" s="219"/>
      <c r="F42" s="220" t="s">
        <v>53</v>
      </c>
      <c r="G42" s="221"/>
      <c r="H42" s="43" t="s">
        <v>91</v>
      </c>
      <c r="I42" s="49" t="s">
        <v>90</v>
      </c>
    </row>
    <row r="43" spans="2:11" x14ac:dyDescent="0.2">
      <c r="B43" s="140">
        <v>1</v>
      </c>
      <c r="C43" s="140"/>
      <c r="D43" s="212"/>
      <c r="E43" s="213"/>
      <c r="F43" s="214"/>
      <c r="G43" s="214"/>
      <c r="H43" s="140"/>
      <c r="I43" s="62"/>
    </row>
    <row r="44" spans="2:11" x14ac:dyDescent="0.2">
      <c r="B44" s="140">
        <v>2</v>
      </c>
      <c r="C44" s="140"/>
      <c r="D44" s="212"/>
      <c r="E44" s="213"/>
      <c r="F44" s="214"/>
      <c r="G44" s="214"/>
      <c r="H44" s="140"/>
      <c r="I44" s="62"/>
    </row>
    <row r="45" spans="2:11" x14ac:dyDescent="0.2">
      <c r="B45" s="140">
        <v>3</v>
      </c>
      <c r="C45" s="140"/>
      <c r="D45" s="212"/>
      <c r="E45" s="213"/>
      <c r="F45" s="214"/>
      <c r="G45" s="214"/>
      <c r="H45" s="140"/>
      <c r="I45" s="62"/>
    </row>
    <row r="46" spans="2:11" x14ac:dyDescent="0.2">
      <c r="B46" s="140">
        <v>4</v>
      </c>
      <c r="C46" s="140"/>
      <c r="D46" s="212"/>
      <c r="E46" s="213"/>
      <c r="F46" s="214"/>
      <c r="G46" s="214"/>
      <c r="H46" s="140"/>
      <c r="I46" s="62"/>
    </row>
    <row r="47" spans="2:11" x14ac:dyDescent="0.2">
      <c r="B47" s="140">
        <v>5</v>
      </c>
      <c r="C47" s="140"/>
      <c r="D47" s="212"/>
      <c r="E47" s="213"/>
      <c r="F47" s="214"/>
      <c r="G47" s="214"/>
      <c r="H47" s="140"/>
      <c r="I47" s="62"/>
    </row>
  </sheetData>
  <sheetProtection insertRows="0" deleteRows="0"/>
  <mergeCells count="14">
    <mergeCell ref="B7:I7"/>
    <mergeCell ref="B41:I41"/>
    <mergeCell ref="D42:E42"/>
    <mergeCell ref="F42:G42"/>
    <mergeCell ref="D43:E43"/>
    <mergeCell ref="F43:G43"/>
    <mergeCell ref="D47:E47"/>
    <mergeCell ref="F47:G47"/>
    <mergeCell ref="D44:E44"/>
    <mergeCell ref="F44:G44"/>
    <mergeCell ref="D45:E45"/>
    <mergeCell ref="F45:G45"/>
    <mergeCell ref="D46:E46"/>
    <mergeCell ref="F46:G46"/>
  </mergeCells>
  <conditionalFormatting sqref="I40 D9">
    <cfRule type="cellIs" dxfId="76" priority="1" operator="equal">
      <formula>"OK"</formula>
    </cfRule>
    <cfRule type="cellIs" dxfId="75" priority="2" operator="equal">
      <formula>"ERROR"</formula>
    </cfRule>
  </conditionalFormatting>
  <dataValidations count="1">
    <dataValidation type="list" allowBlank="1" showInputMessage="1" showErrorMessage="1" sqref="H43:H47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571500</xdr:colOff>
                    <xdr:row>7</xdr:row>
                    <xdr:rowOff>104775</xdr:rowOff>
                  </from>
                  <to>
                    <xdr:col>4</xdr:col>
                    <xdr:colOff>1447800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7:R49"/>
  <sheetViews>
    <sheetView showGridLines="0" view="pageBreakPreview" topLeftCell="A34" zoomScaleNormal="100" zoomScaleSheetLayoutView="100" workbookViewId="0">
      <selection activeCell="C47" sqref="C47"/>
    </sheetView>
  </sheetViews>
  <sheetFormatPr baseColWidth="10" defaultColWidth="11.42578125" defaultRowHeight="12" x14ac:dyDescent="0.2"/>
  <cols>
    <col min="1" max="1" width="2.5703125" style="29" customWidth="1"/>
    <col min="2" max="2" width="5" style="29" customWidth="1"/>
    <col min="3" max="3" width="31.85546875" style="29" customWidth="1"/>
    <col min="4" max="5" width="13.28515625" style="29" customWidth="1"/>
    <col min="6" max="6" width="10.7109375" style="29" customWidth="1"/>
    <col min="7" max="7" width="55.42578125" style="29" customWidth="1"/>
    <col min="8" max="8" width="14.5703125" style="29" bestFit="1" customWidth="1"/>
    <col min="9" max="9" width="3.140625" style="29" customWidth="1"/>
    <col min="10" max="10" width="4.28515625" style="29" customWidth="1"/>
    <col min="11" max="11" width="15.140625" style="29" bestFit="1" customWidth="1"/>
    <col min="12" max="12" width="4.42578125" style="29" customWidth="1"/>
    <col min="13" max="13" width="4.5703125" style="29" customWidth="1"/>
    <col min="14" max="14" width="15.140625" style="29" bestFit="1" customWidth="1"/>
    <col min="15" max="15" width="4" style="29" customWidth="1"/>
    <col min="16" max="16" width="6.42578125" style="29" customWidth="1"/>
    <col min="17" max="17" width="11.42578125" style="29"/>
    <col min="18" max="18" width="15.5703125" style="29" bestFit="1" customWidth="1"/>
    <col min="19" max="16384" width="11.42578125" style="29"/>
  </cols>
  <sheetData>
    <row r="7" spans="2:18" ht="21" customHeight="1" x14ac:dyDescent="0.2">
      <c r="B7" s="41" t="s">
        <v>13</v>
      </c>
      <c r="C7" s="41"/>
      <c r="D7" s="41"/>
      <c r="E7" s="41"/>
      <c r="F7" s="41"/>
      <c r="G7" s="41"/>
      <c r="H7" s="41"/>
      <c r="I7" s="42"/>
      <c r="J7" s="42"/>
      <c r="K7" s="42"/>
      <c r="L7" s="42"/>
      <c r="M7" s="42"/>
      <c r="N7" s="42"/>
      <c r="O7" s="42"/>
      <c r="P7" s="42"/>
      <c r="Q7" s="42"/>
      <c r="R7" s="42"/>
    </row>
    <row r="39" spans="2:15" ht="29.25" customHeight="1" x14ac:dyDescent="0.2">
      <c r="B39" s="36" t="s">
        <v>2</v>
      </c>
      <c r="C39" s="13" t="s">
        <v>54</v>
      </c>
      <c r="D39" s="13" t="s">
        <v>98</v>
      </c>
      <c r="E39" s="13" t="s">
        <v>99</v>
      </c>
      <c r="F39" s="13" t="s">
        <v>69</v>
      </c>
      <c r="G39" s="13" t="s">
        <v>53</v>
      </c>
      <c r="H39" s="13" t="s">
        <v>55</v>
      </c>
      <c r="K39" s="223"/>
      <c r="L39" s="223"/>
      <c r="M39" s="45"/>
      <c r="N39" s="222"/>
      <c r="O39" s="222"/>
    </row>
    <row r="40" spans="2:15" ht="24" x14ac:dyDescent="0.2">
      <c r="B40" s="64">
        <v>1</v>
      </c>
      <c r="C40" s="65" t="s">
        <v>214</v>
      </c>
      <c r="D40" s="139">
        <v>2</v>
      </c>
      <c r="E40" s="59">
        <v>4</v>
      </c>
      <c r="F40" s="64" t="str">
        <f>IF(AND((D40*E40)&lt;5,(D40*E40)&gt;=1),"Bajo",IF(AND((D40*E40)&gt;=5,(D40*E40)&lt;=10),"Moderado",IF((D40*E40)&gt;10,"Crítico","")))</f>
        <v>Moderado</v>
      </c>
      <c r="G40" s="65" t="s">
        <v>72</v>
      </c>
      <c r="H40" s="65" t="s">
        <v>61</v>
      </c>
      <c r="K40" s="45"/>
      <c r="L40" s="46"/>
      <c r="M40" s="45"/>
      <c r="N40" s="45"/>
      <c r="O40" s="46"/>
    </row>
    <row r="41" spans="2:15" ht="48" x14ac:dyDescent="0.2">
      <c r="B41" s="64">
        <v>2</v>
      </c>
      <c r="C41" s="65" t="s">
        <v>132</v>
      </c>
      <c r="D41" s="139">
        <v>1</v>
      </c>
      <c r="E41" s="59">
        <v>1</v>
      </c>
      <c r="F41" s="64" t="str">
        <f t="shared" ref="F41:F49" si="0">IF(AND((D41*E41)&lt;5,(D41*E41)&gt;=1),"Bajo",IF(AND((D41*E41)&gt;=5,(D41*E41)&lt;=10),"Moderado",IF((D41*E41)&gt;10,"Crítico","")))</f>
        <v>Bajo</v>
      </c>
      <c r="G41" s="65" t="s">
        <v>73</v>
      </c>
      <c r="H41" s="65" t="s">
        <v>61</v>
      </c>
    </row>
    <row r="42" spans="2:15" ht="36" x14ac:dyDescent="0.2">
      <c r="B42" s="64">
        <v>3</v>
      </c>
      <c r="C42" s="65" t="s">
        <v>215</v>
      </c>
      <c r="D42" s="139">
        <v>3</v>
      </c>
      <c r="E42" s="59">
        <v>5</v>
      </c>
      <c r="F42" s="64" t="str">
        <f t="shared" si="0"/>
        <v>Crítico</v>
      </c>
      <c r="G42" s="68" t="s">
        <v>74</v>
      </c>
      <c r="H42" s="68" t="s">
        <v>61</v>
      </c>
    </row>
    <row r="43" spans="2:15" ht="24" x14ac:dyDescent="0.2">
      <c r="B43" s="64">
        <v>4</v>
      </c>
      <c r="C43" s="65" t="s">
        <v>97</v>
      </c>
      <c r="D43" s="139">
        <v>2</v>
      </c>
      <c r="E43" s="59">
        <v>2</v>
      </c>
      <c r="F43" s="64" t="str">
        <f>IF(AND((D43*E43)&lt;5,(D43*E43)&gt;=1),"Bajo",IF(AND((D43*E43)&gt;=5,(D43*E43)&lt;=10),"Moderado",IF((D43*E43)&gt;10,"Crítico","")))</f>
        <v>Bajo</v>
      </c>
      <c r="G43" s="65" t="s">
        <v>213</v>
      </c>
      <c r="H43" s="65" t="s">
        <v>61</v>
      </c>
    </row>
    <row r="44" spans="2:15" ht="24" x14ac:dyDescent="0.2">
      <c r="B44" s="64">
        <v>5</v>
      </c>
      <c r="C44" s="65" t="s">
        <v>135</v>
      </c>
      <c r="D44" s="139">
        <v>3</v>
      </c>
      <c r="E44" s="59">
        <v>3</v>
      </c>
      <c r="F44" s="64" t="str">
        <f t="shared" si="0"/>
        <v>Moderado</v>
      </c>
      <c r="G44" s="65" t="s">
        <v>137</v>
      </c>
      <c r="H44" s="65" t="s">
        <v>61</v>
      </c>
    </row>
    <row r="45" spans="2:15" ht="24" x14ac:dyDescent="0.2">
      <c r="B45" s="64">
        <v>6</v>
      </c>
      <c r="C45" s="65" t="s">
        <v>133</v>
      </c>
      <c r="D45" s="139">
        <v>1</v>
      </c>
      <c r="E45" s="59">
        <v>5</v>
      </c>
      <c r="F45" s="64" t="str">
        <f t="shared" si="0"/>
        <v>Moderado</v>
      </c>
      <c r="G45" s="65" t="s">
        <v>79</v>
      </c>
      <c r="H45" s="65" t="s">
        <v>61</v>
      </c>
    </row>
    <row r="46" spans="2:15" ht="48" x14ac:dyDescent="0.2">
      <c r="B46" s="64">
        <v>7</v>
      </c>
      <c r="C46" s="65" t="s">
        <v>71</v>
      </c>
      <c r="D46" s="139">
        <v>5</v>
      </c>
      <c r="E46" s="59">
        <v>5</v>
      </c>
      <c r="F46" s="64" t="str">
        <f t="shared" si="0"/>
        <v>Crítico</v>
      </c>
      <c r="G46" s="65" t="s">
        <v>82</v>
      </c>
      <c r="H46" s="65" t="s">
        <v>61</v>
      </c>
    </row>
    <row r="47" spans="2:15" ht="24" x14ac:dyDescent="0.2">
      <c r="B47" s="64">
        <v>8</v>
      </c>
      <c r="C47" s="65" t="s">
        <v>75</v>
      </c>
      <c r="D47" s="139">
        <v>5</v>
      </c>
      <c r="E47" s="59">
        <v>5</v>
      </c>
      <c r="F47" s="64" t="str">
        <f t="shared" si="0"/>
        <v>Crítico</v>
      </c>
      <c r="G47" s="65" t="s">
        <v>134</v>
      </c>
      <c r="H47" s="65" t="s">
        <v>61</v>
      </c>
    </row>
    <row r="48" spans="2:15" ht="24" x14ac:dyDescent="0.2">
      <c r="B48" s="64">
        <v>9</v>
      </c>
      <c r="C48" s="65" t="s">
        <v>76</v>
      </c>
      <c r="D48" s="139">
        <v>5</v>
      </c>
      <c r="E48" s="59">
        <v>5</v>
      </c>
      <c r="F48" s="64" t="str">
        <f t="shared" si="0"/>
        <v>Crítico</v>
      </c>
      <c r="G48" s="65" t="s">
        <v>136</v>
      </c>
      <c r="H48" s="65" t="s">
        <v>61</v>
      </c>
    </row>
    <row r="49" spans="2:8" ht="24" x14ac:dyDescent="0.2">
      <c r="B49" s="64">
        <v>10</v>
      </c>
      <c r="C49" s="65" t="s">
        <v>77</v>
      </c>
      <c r="D49" s="59">
        <v>3</v>
      </c>
      <c r="E49" s="59">
        <v>3</v>
      </c>
      <c r="F49" s="64" t="str">
        <f t="shared" si="0"/>
        <v>Moderado</v>
      </c>
      <c r="G49" s="65" t="s">
        <v>101</v>
      </c>
      <c r="H49" s="65" t="s">
        <v>61</v>
      </c>
    </row>
  </sheetData>
  <dataConsolidate/>
  <mergeCells count="2">
    <mergeCell ref="N39:O39"/>
    <mergeCell ref="K39:L39"/>
  </mergeCells>
  <conditionalFormatting sqref="F40:F49">
    <cfRule type="cellIs" dxfId="62" priority="10" operator="equal">
      <formula>"Bajo"</formula>
    </cfRule>
    <cfRule type="cellIs" dxfId="61" priority="11" operator="equal">
      <formula>"Moderado"</formula>
    </cfRule>
    <cfRule type="cellIs" dxfId="60" priority="12" operator="equal">
      <formula>"Crítico"</formula>
    </cfRule>
  </conditionalFormatting>
  <dataValidations count="1">
    <dataValidation type="list" allowBlank="1" showInputMessage="1" showErrorMessage="1" sqref="E40:E49">
      <formula1>"1, 2, 3, 4, 5"</formula1>
    </dataValidation>
  </dataValidations>
  <pageMargins left="0.7" right="0.7" top="0.75" bottom="0.75" header="0.3" footer="0.3"/>
  <pageSetup scale="5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'DATOS RIESGOS'!$C$11:$C$15</xm:f>
          </x14:formula1>
          <xm:sqref>D40:D49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N18"/>
  <sheetViews>
    <sheetView showGridLines="0" topLeftCell="B1" zoomScaleNormal="100" workbookViewId="0">
      <selection activeCell="I6" sqref="I6"/>
    </sheetView>
  </sheetViews>
  <sheetFormatPr baseColWidth="10" defaultRowHeight="15" x14ac:dyDescent="0.25"/>
  <cols>
    <col min="3" max="3" width="15.5703125" customWidth="1"/>
    <col min="5" max="5" width="19" customWidth="1"/>
    <col min="8" max="8" width="14.7109375" bestFit="1" customWidth="1"/>
    <col min="9" max="9" width="14.28515625" bestFit="1" customWidth="1"/>
    <col min="10" max="10" width="14.7109375" bestFit="1" customWidth="1"/>
    <col min="11" max="12" width="18.7109375" bestFit="1" customWidth="1"/>
  </cols>
  <sheetData>
    <row r="2" spans="2:14" x14ac:dyDescent="0.25">
      <c r="B2" s="14"/>
      <c r="C2" s="14" t="s">
        <v>3</v>
      </c>
      <c r="E2" s="14" t="s">
        <v>9</v>
      </c>
      <c r="H2" s="14" t="s">
        <v>11</v>
      </c>
      <c r="J2" s="15"/>
      <c r="L2" s="14" t="s">
        <v>26</v>
      </c>
    </row>
    <row r="3" spans="2:14" x14ac:dyDescent="0.25">
      <c r="C3" s="16" t="s">
        <v>4</v>
      </c>
      <c r="E3" s="19" t="s">
        <v>14</v>
      </c>
      <c r="F3" s="20"/>
      <c r="H3" s="9" t="s">
        <v>20</v>
      </c>
      <c r="I3" s="16" t="s">
        <v>22</v>
      </c>
      <c r="J3" s="15"/>
    </row>
    <row r="4" spans="2:14" x14ac:dyDescent="0.25">
      <c r="C4" s="17" t="s">
        <v>5</v>
      </c>
      <c r="E4" s="10" t="s">
        <v>15</v>
      </c>
      <c r="F4" s="8" t="s">
        <v>17</v>
      </c>
      <c r="H4" s="10"/>
      <c r="I4" s="17" t="s">
        <v>23</v>
      </c>
      <c r="J4" s="15"/>
      <c r="L4" s="26" t="s">
        <v>29</v>
      </c>
      <c r="M4" s="27" t="s">
        <v>42</v>
      </c>
      <c r="N4" s="26">
        <v>25700</v>
      </c>
    </row>
    <row r="5" spans="2:14" x14ac:dyDescent="0.25">
      <c r="C5" s="17" t="s">
        <v>6</v>
      </c>
      <c r="E5" s="11"/>
      <c r="F5" s="12" t="s">
        <v>16</v>
      </c>
      <c r="H5" s="10"/>
      <c r="I5" s="17" t="s">
        <v>24</v>
      </c>
      <c r="J5" s="15"/>
      <c r="L5" s="17" t="s">
        <v>27</v>
      </c>
    </row>
    <row r="6" spans="2:14" x14ac:dyDescent="0.25">
      <c r="C6" s="17" t="s">
        <v>7</v>
      </c>
      <c r="E6" s="10" t="s">
        <v>18</v>
      </c>
      <c r="F6" s="8" t="s">
        <v>19</v>
      </c>
      <c r="H6" s="11"/>
      <c r="I6" s="18" t="s">
        <v>25</v>
      </c>
      <c r="J6" s="15"/>
      <c r="L6" s="17" t="s">
        <v>28</v>
      </c>
    </row>
    <row r="7" spans="2:14" x14ac:dyDescent="0.25">
      <c r="C7" s="18" t="s">
        <v>8</v>
      </c>
      <c r="E7" s="11"/>
      <c r="F7" s="12" t="s">
        <v>16</v>
      </c>
      <c r="J7" s="15"/>
      <c r="L7" s="18" t="s">
        <v>30</v>
      </c>
    </row>
    <row r="8" spans="2:14" x14ac:dyDescent="0.25">
      <c r="J8" s="15"/>
    </row>
    <row r="10" spans="2:14" x14ac:dyDescent="0.25">
      <c r="C10" s="14" t="s">
        <v>91</v>
      </c>
      <c r="H10" s="14" t="s">
        <v>153</v>
      </c>
    </row>
    <row r="11" spans="2:14" x14ac:dyDescent="0.25">
      <c r="C11" t="s">
        <v>155</v>
      </c>
      <c r="H11" s="21"/>
    </row>
    <row r="12" spans="2:14" x14ac:dyDescent="0.25">
      <c r="C12" t="s">
        <v>154</v>
      </c>
      <c r="H12" s="22" t="s">
        <v>32</v>
      </c>
      <c r="I12" s="224" t="s">
        <v>33</v>
      </c>
      <c r="J12" s="225"/>
    </row>
    <row r="13" spans="2:14" x14ac:dyDescent="0.25">
      <c r="C13" t="s">
        <v>156</v>
      </c>
      <c r="H13" s="106" t="s">
        <v>19</v>
      </c>
      <c r="I13" s="107">
        <v>1</v>
      </c>
      <c r="J13" s="20" t="s">
        <v>31</v>
      </c>
    </row>
    <row r="14" spans="2:14" x14ac:dyDescent="0.25">
      <c r="H14" s="23" t="s">
        <v>16</v>
      </c>
      <c r="I14" s="15">
        <v>8</v>
      </c>
      <c r="J14" s="8" t="s">
        <v>31</v>
      </c>
    </row>
    <row r="15" spans="2:14" x14ac:dyDescent="0.25">
      <c r="H15" s="108" t="s">
        <v>17</v>
      </c>
      <c r="I15" s="107">
        <v>40</v>
      </c>
      <c r="J15" s="20" t="s">
        <v>31</v>
      </c>
    </row>
    <row r="18" spans="3:3" x14ac:dyDescent="0.25">
      <c r="C18" s="14"/>
    </row>
  </sheetData>
  <mergeCells count="1">
    <mergeCell ref="I12:J12"/>
  </mergeCells>
  <pageMargins left="0.7" right="0.7" top="0.75" bottom="0.75" header="0.3" footer="0.3"/>
  <pageSetup paperSize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5:U40"/>
  <sheetViews>
    <sheetView showGridLines="0" topLeftCell="A4" workbookViewId="0">
      <selection activeCell="C5" sqref="C5"/>
    </sheetView>
  </sheetViews>
  <sheetFormatPr baseColWidth="10" defaultColWidth="11.42578125" defaultRowHeight="12" x14ac:dyDescent="0.2"/>
  <cols>
    <col min="1" max="1" width="11.42578125" style="29"/>
    <col min="2" max="2" width="14.28515625" style="29" customWidth="1"/>
    <col min="3" max="3" width="10.140625" style="29" customWidth="1"/>
    <col min="4" max="4" width="73.7109375" style="29" bestFit="1" customWidth="1"/>
    <col min="5" max="5" width="11.42578125" style="29"/>
    <col min="6" max="6" width="15.28515625" style="29" bestFit="1" customWidth="1"/>
    <col min="7" max="7" width="2" style="29" bestFit="1" customWidth="1"/>
    <col min="8" max="8" width="11.42578125" style="29"/>
    <col min="9" max="9" width="2" style="29" bestFit="1" customWidth="1"/>
    <col min="10" max="10" width="2.7109375" style="29" customWidth="1"/>
    <col min="11" max="11" width="3" style="29" bestFit="1" customWidth="1"/>
    <col min="12" max="15" width="11.42578125" style="29"/>
    <col min="16" max="21" width="14" style="29" customWidth="1"/>
    <col min="22" max="16384" width="11.42578125" style="29"/>
  </cols>
  <sheetData>
    <row r="5" spans="2:21" ht="24" x14ac:dyDescent="0.2">
      <c r="B5" s="43" t="s">
        <v>59</v>
      </c>
      <c r="C5" s="49" t="s">
        <v>68</v>
      </c>
      <c r="D5" s="43" t="s">
        <v>46</v>
      </c>
      <c r="F5" s="40" t="s">
        <v>118</v>
      </c>
      <c r="G5" s="40"/>
      <c r="H5" s="40" t="s">
        <v>119</v>
      </c>
      <c r="I5" s="40"/>
      <c r="K5" s="40"/>
      <c r="L5" s="40" t="s">
        <v>131</v>
      </c>
    </row>
    <row r="6" spans="2:21" ht="12" customHeight="1" x14ac:dyDescent="0.2">
      <c r="B6" s="73" t="s">
        <v>62</v>
      </c>
      <c r="C6" s="50" t="s">
        <v>70</v>
      </c>
      <c r="D6" s="65" t="s">
        <v>81</v>
      </c>
      <c r="F6" s="40" t="s">
        <v>104</v>
      </c>
      <c r="G6" s="40">
        <v>1</v>
      </c>
      <c r="H6" s="40" t="s">
        <v>65</v>
      </c>
      <c r="I6" s="40">
        <v>1</v>
      </c>
      <c r="K6" s="40">
        <v>25</v>
      </c>
      <c r="L6" s="40" t="s">
        <v>65</v>
      </c>
      <c r="P6" s="43" t="s">
        <v>56</v>
      </c>
    </row>
    <row r="7" spans="2:21" ht="12" customHeight="1" x14ac:dyDescent="0.2">
      <c r="B7" s="73" t="s">
        <v>63</v>
      </c>
      <c r="C7" s="50" t="s">
        <v>125</v>
      </c>
      <c r="D7" s="65" t="s">
        <v>107</v>
      </c>
      <c r="F7" s="40" t="s">
        <v>104</v>
      </c>
      <c r="G7" s="40">
        <v>1</v>
      </c>
      <c r="H7" s="40" t="s">
        <v>105</v>
      </c>
      <c r="I7" s="40">
        <v>2</v>
      </c>
      <c r="K7" s="40">
        <v>20</v>
      </c>
      <c r="L7" s="40" t="s">
        <v>65</v>
      </c>
      <c r="P7" s="36" t="s">
        <v>124</v>
      </c>
      <c r="Q7" s="71" t="s">
        <v>63</v>
      </c>
      <c r="R7" s="71" t="s">
        <v>63</v>
      </c>
      <c r="S7" s="69" t="s">
        <v>62</v>
      </c>
      <c r="T7" s="69" t="s">
        <v>62</v>
      </c>
      <c r="U7" s="69" t="s">
        <v>62</v>
      </c>
    </row>
    <row r="8" spans="2:21" s="63" customFormat="1" ht="12" customHeight="1" x14ac:dyDescent="0.2">
      <c r="B8" s="73" t="s">
        <v>60</v>
      </c>
      <c r="C8" s="50" t="s">
        <v>126</v>
      </c>
      <c r="D8" s="65" t="s">
        <v>117</v>
      </c>
      <c r="F8" s="40" t="s">
        <v>104</v>
      </c>
      <c r="G8" s="40">
        <v>1</v>
      </c>
      <c r="H8" s="67" t="s">
        <v>63</v>
      </c>
      <c r="I8" s="40">
        <v>3</v>
      </c>
      <c r="J8" s="29"/>
      <c r="K8" s="40">
        <v>15</v>
      </c>
      <c r="L8" s="40" t="s">
        <v>65</v>
      </c>
      <c r="P8" s="36" t="s">
        <v>123</v>
      </c>
      <c r="Q8" s="72" t="s">
        <v>60</v>
      </c>
      <c r="R8" s="70" t="s">
        <v>63</v>
      </c>
      <c r="S8" s="69" t="s">
        <v>62</v>
      </c>
      <c r="T8" s="69" t="s">
        <v>62</v>
      </c>
      <c r="U8" s="69" t="s">
        <v>62</v>
      </c>
    </row>
    <row r="9" spans="2:21" ht="12" customHeight="1" x14ac:dyDescent="0.2">
      <c r="F9" s="40" t="s">
        <v>104</v>
      </c>
      <c r="G9" s="40">
        <v>1</v>
      </c>
      <c r="H9" s="40" t="s">
        <v>60</v>
      </c>
      <c r="I9" s="40">
        <v>4</v>
      </c>
      <c r="K9" s="40">
        <v>10</v>
      </c>
      <c r="L9" s="40" t="s">
        <v>63</v>
      </c>
      <c r="P9" s="36" t="s">
        <v>122</v>
      </c>
      <c r="Q9" s="72" t="s">
        <v>60</v>
      </c>
      <c r="R9" s="70" t="s">
        <v>63</v>
      </c>
      <c r="S9" s="70" t="s">
        <v>63</v>
      </c>
      <c r="T9" s="69" t="s">
        <v>62</v>
      </c>
      <c r="U9" s="69" t="s">
        <v>62</v>
      </c>
    </row>
    <row r="10" spans="2:21" ht="24" x14ac:dyDescent="0.2">
      <c r="B10" s="49" t="s">
        <v>56</v>
      </c>
      <c r="C10" s="49" t="s">
        <v>58</v>
      </c>
      <c r="D10" s="49" t="s">
        <v>46</v>
      </c>
      <c r="F10" s="40" t="s">
        <v>104</v>
      </c>
      <c r="G10" s="40">
        <v>1</v>
      </c>
      <c r="H10" s="40" t="s">
        <v>64</v>
      </c>
      <c r="I10" s="40">
        <v>5</v>
      </c>
      <c r="K10" s="40">
        <v>5</v>
      </c>
      <c r="L10" s="40" t="s">
        <v>63</v>
      </c>
      <c r="P10" s="36" t="s">
        <v>121</v>
      </c>
      <c r="Q10" s="72" t="s">
        <v>60</v>
      </c>
      <c r="R10" s="72" t="s">
        <v>60</v>
      </c>
      <c r="S10" s="70" t="s">
        <v>63</v>
      </c>
      <c r="T10" s="70" t="s">
        <v>63</v>
      </c>
      <c r="U10" s="70" t="s">
        <v>63</v>
      </c>
    </row>
    <row r="11" spans="2:21" x14ac:dyDescent="0.2">
      <c r="B11" s="40" t="s">
        <v>102</v>
      </c>
      <c r="C11" s="44">
        <v>1</v>
      </c>
      <c r="D11" s="66" t="s">
        <v>106</v>
      </c>
      <c r="F11" s="40" t="s">
        <v>66</v>
      </c>
      <c r="G11" s="40">
        <v>2</v>
      </c>
      <c r="H11" s="40" t="s">
        <v>65</v>
      </c>
      <c r="I11" s="40">
        <v>1</v>
      </c>
      <c r="K11" s="40">
        <v>16</v>
      </c>
      <c r="L11" s="40" t="s">
        <v>65</v>
      </c>
      <c r="P11" s="36" t="s">
        <v>120</v>
      </c>
      <c r="Q11" s="72" t="s">
        <v>60</v>
      </c>
      <c r="R11" s="72" t="s">
        <v>60</v>
      </c>
      <c r="S11" s="72" t="s">
        <v>60</v>
      </c>
      <c r="T11" s="72" t="s">
        <v>60</v>
      </c>
      <c r="U11" s="70" t="s">
        <v>63</v>
      </c>
    </row>
    <row r="12" spans="2:21" x14ac:dyDescent="0.2">
      <c r="B12" s="40" t="s">
        <v>67</v>
      </c>
      <c r="C12" s="44">
        <v>2</v>
      </c>
      <c r="D12" s="66" t="s">
        <v>109</v>
      </c>
      <c r="F12" s="40" t="s">
        <v>66</v>
      </c>
      <c r="G12" s="40">
        <v>2</v>
      </c>
      <c r="H12" s="40" t="s">
        <v>105</v>
      </c>
      <c r="I12" s="40">
        <v>2</v>
      </c>
      <c r="K12" s="40">
        <v>12</v>
      </c>
      <c r="L12" s="40" t="s">
        <v>65</v>
      </c>
      <c r="Q12" s="36" t="s">
        <v>80</v>
      </c>
      <c r="R12" s="36" t="s">
        <v>127</v>
      </c>
      <c r="S12" s="36" t="s">
        <v>128</v>
      </c>
      <c r="T12" s="36" t="s">
        <v>129</v>
      </c>
      <c r="U12" s="36" t="s">
        <v>130</v>
      </c>
    </row>
    <row r="13" spans="2:21" x14ac:dyDescent="0.2">
      <c r="B13" s="40" t="s">
        <v>103</v>
      </c>
      <c r="C13" s="44">
        <v>3</v>
      </c>
      <c r="D13" s="66" t="s">
        <v>108</v>
      </c>
      <c r="F13" s="40" t="s">
        <v>66</v>
      </c>
      <c r="G13" s="40">
        <v>2</v>
      </c>
      <c r="H13" s="67" t="s">
        <v>63</v>
      </c>
      <c r="I13" s="40">
        <v>3</v>
      </c>
      <c r="K13" s="40">
        <v>8</v>
      </c>
      <c r="L13" s="40" t="s">
        <v>63</v>
      </c>
      <c r="Q13" s="226" t="s">
        <v>57</v>
      </c>
      <c r="R13" s="226"/>
      <c r="S13" s="226"/>
      <c r="T13" s="226"/>
      <c r="U13" s="226"/>
    </row>
    <row r="14" spans="2:21" x14ac:dyDescent="0.2">
      <c r="B14" s="40" t="s">
        <v>66</v>
      </c>
      <c r="C14" s="44">
        <v>4</v>
      </c>
      <c r="D14" s="66" t="s">
        <v>110</v>
      </c>
      <c r="F14" s="40" t="s">
        <v>66</v>
      </c>
      <c r="G14" s="40">
        <v>2</v>
      </c>
      <c r="H14" s="40" t="s">
        <v>60</v>
      </c>
      <c r="I14" s="40">
        <v>4</v>
      </c>
      <c r="K14" s="40">
        <v>4</v>
      </c>
      <c r="L14" s="40" t="s">
        <v>60</v>
      </c>
    </row>
    <row r="15" spans="2:21" x14ac:dyDescent="0.2">
      <c r="B15" s="40" t="s">
        <v>104</v>
      </c>
      <c r="C15" s="44">
        <v>5</v>
      </c>
      <c r="D15" s="66" t="s">
        <v>111</v>
      </c>
      <c r="F15" s="40" t="s">
        <v>66</v>
      </c>
      <c r="G15" s="40">
        <v>2</v>
      </c>
      <c r="H15" s="40" t="s">
        <v>64</v>
      </c>
      <c r="I15" s="40">
        <v>5</v>
      </c>
      <c r="K15" s="40">
        <v>9</v>
      </c>
      <c r="L15" s="40" t="s">
        <v>63</v>
      </c>
    </row>
    <row r="16" spans="2:21" x14ac:dyDescent="0.2">
      <c r="F16" s="40" t="s">
        <v>103</v>
      </c>
      <c r="G16" s="40">
        <v>3</v>
      </c>
      <c r="H16" s="40" t="s">
        <v>65</v>
      </c>
      <c r="I16" s="40">
        <v>1</v>
      </c>
      <c r="K16" s="40">
        <v>6</v>
      </c>
      <c r="L16" s="40" t="s">
        <v>63</v>
      </c>
    </row>
    <row r="17" spans="2:12" ht="24" x14ac:dyDescent="0.2">
      <c r="B17" s="49" t="s">
        <v>57</v>
      </c>
      <c r="C17" s="49" t="s">
        <v>58</v>
      </c>
      <c r="D17" s="49" t="s">
        <v>46</v>
      </c>
      <c r="F17" s="40" t="s">
        <v>103</v>
      </c>
      <c r="G17" s="40">
        <v>3</v>
      </c>
      <c r="H17" s="40" t="s">
        <v>105</v>
      </c>
      <c r="I17" s="40">
        <v>2</v>
      </c>
      <c r="K17" s="40">
        <v>3</v>
      </c>
      <c r="L17" s="40" t="s">
        <v>60</v>
      </c>
    </row>
    <row r="18" spans="2:12" x14ac:dyDescent="0.2">
      <c r="B18" s="40" t="s">
        <v>64</v>
      </c>
      <c r="C18" s="44">
        <v>1</v>
      </c>
      <c r="D18" s="66" t="s">
        <v>112</v>
      </c>
      <c r="F18" s="40" t="s">
        <v>103</v>
      </c>
      <c r="G18" s="40">
        <v>3</v>
      </c>
      <c r="H18" s="67" t="s">
        <v>63</v>
      </c>
      <c r="I18" s="40">
        <v>3</v>
      </c>
      <c r="J18" s="63"/>
      <c r="K18" s="40">
        <v>2</v>
      </c>
      <c r="L18" s="40" t="s">
        <v>60</v>
      </c>
    </row>
    <row r="19" spans="2:12" x14ac:dyDescent="0.2">
      <c r="B19" s="40" t="s">
        <v>60</v>
      </c>
      <c r="C19" s="44">
        <v>2</v>
      </c>
      <c r="D19" s="66" t="s">
        <v>113</v>
      </c>
      <c r="F19" s="40" t="s">
        <v>103</v>
      </c>
      <c r="G19" s="40">
        <v>3</v>
      </c>
      <c r="H19" s="40" t="s">
        <v>60</v>
      </c>
      <c r="I19" s="40">
        <v>4</v>
      </c>
      <c r="K19" s="40">
        <v>1</v>
      </c>
      <c r="L19" s="40" t="s">
        <v>60</v>
      </c>
    </row>
    <row r="20" spans="2:12" ht="12" customHeight="1" x14ac:dyDescent="0.2">
      <c r="B20" s="67" t="s">
        <v>63</v>
      </c>
      <c r="C20" s="44">
        <v>3</v>
      </c>
      <c r="D20" s="66" t="s">
        <v>114</v>
      </c>
      <c r="F20" s="40" t="s">
        <v>103</v>
      </c>
      <c r="G20" s="40">
        <v>3</v>
      </c>
      <c r="H20" s="40" t="s">
        <v>64</v>
      </c>
      <c r="I20" s="40">
        <v>5</v>
      </c>
    </row>
    <row r="21" spans="2:12" x14ac:dyDescent="0.2">
      <c r="B21" s="40" t="s">
        <v>105</v>
      </c>
      <c r="C21" s="44">
        <v>4</v>
      </c>
      <c r="D21" s="66" t="s">
        <v>115</v>
      </c>
      <c r="F21" s="40" t="s">
        <v>67</v>
      </c>
      <c r="G21" s="40">
        <v>4</v>
      </c>
      <c r="H21" s="40" t="s">
        <v>65</v>
      </c>
      <c r="I21" s="40">
        <v>1</v>
      </c>
    </row>
    <row r="22" spans="2:12" x14ac:dyDescent="0.2">
      <c r="B22" s="40" t="s">
        <v>65</v>
      </c>
      <c r="C22" s="44">
        <v>5</v>
      </c>
      <c r="D22" s="66" t="s">
        <v>116</v>
      </c>
      <c r="F22" s="40" t="s">
        <v>67</v>
      </c>
      <c r="G22" s="40">
        <v>4</v>
      </c>
      <c r="H22" s="40" t="s">
        <v>105</v>
      </c>
      <c r="I22" s="40">
        <v>2</v>
      </c>
    </row>
    <row r="23" spans="2:12" x14ac:dyDescent="0.2">
      <c r="F23" s="40" t="s">
        <v>67</v>
      </c>
      <c r="G23" s="40">
        <v>4</v>
      </c>
      <c r="H23" s="67" t="s">
        <v>63</v>
      </c>
      <c r="I23" s="40">
        <v>3</v>
      </c>
    </row>
    <row r="24" spans="2:12" x14ac:dyDescent="0.2">
      <c r="F24" s="40" t="s">
        <v>67</v>
      </c>
      <c r="G24" s="40">
        <v>4</v>
      </c>
      <c r="H24" s="40" t="s">
        <v>60</v>
      </c>
      <c r="I24" s="40">
        <v>4</v>
      </c>
    </row>
    <row r="25" spans="2:12" x14ac:dyDescent="0.2">
      <c r="F25" s="40" t="s">
        <v>67</v>
      </c>
      <c r="G25" s="40">
        <v>4</v>
      </c>
      <c r="H25" s="40" t="s">
        <v>64</v>
      </c>
      <c r="I25" s="40">
        <v>5</v>
      </c>
    </row>
    <row r="26" spans="2:12" x14ac:dyDescent="0.2">
      <c r="F26" s="40" t="s">
        <v>102</v>
      </c>
      <c r="G26" s="40">
        <v>5</v>
      </c>
      <c r="H26" s="40" t="s">
        <v>65</v>
      </c>
      <c r="I26" s="40">
        <v>1</v>
      </c>
    </row>
    <row r="27" spans="2:12" x14ac:dyDescent="0.2">
      <c r="F27" s="40" t="s">
        <v>102</v>
      </c>
      <c r="G27" s="40">
        <v>5</v>
      </c>
      <c r="H27" s="40" t="s">
        <v>105</v>
      </c>
      <c r="I27" s="40">
        <v>2</v>
      </c>
    </row>
    <row r="28" spans="2:12" x14ac:dyDescent="0.2">
      <c r="F28" s="40" t="s">
        <v>102</v>
      </c>
      <c r="G28" s="40">
        <v>5</v>
      </c>
      <c r="H28" s="67" t="s">
        <v>63</v>
      </c>
      <c r="I28" s="40">
        <v>3</v>
      </c>
    </row>
    <row r="29" spans="2:12" x14ac:dyDescent="0.2">
      <c r="F29" s="40" t="s">
        <v>102</v>
      </c>
      <c r="G29" s="40">
        <v>5</v>
      </c>
      <c r="H29" s="40" t="s">
        <v>60</v>
      </c>
      <c r="I29" s="40">
        <v>4</v>
      </c>
    </row>
    <row r="30" spans="2:12" x14ac:dyDescent="0.2">
      <c r="F30" s="40" t="s">
        <v>102</v>
      </c>
      <c r="G30" s="40">
        <v>5</v>
      </c>
      <c r="H30" s="40" t="s">
        <v>64</v>
      </c>
      <c r="I30" s="40">
        <v>5</v>
      </c>
    </row>
    <row r="40" spans="4:4" x14ac:dyDescent="0.2">
      <c r="D40" s="29" t="str">
        <f>IFERROR(VLOOKUP(CONCATENATE(IFERROR(VLOOKUP(B40,'DATOS RIESGOS'!F6:G30,2,FALSE),0),IFERROR(VLOOKUP(C40,ImpactoSeveridad,2,FALSE),0)),NivelSeveridadRiesgo,2,FALSE), "")</f>
        <v/>
      </c>
    </row>
  </sheetData>
  <mergeCells count="1">
    <mergeCell ref="Q13:U13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7</vt:i4>
      </vt:variant>
    </vt:vector>
  </HeadingPairs>
  <TitlesOfParts>
    <vt:vector size="16" baseType="lpstr">
      <vt:lpstr>SPRINT 0</vt:lpstr>
      <vt:lpstr>SPRINT N° 1</vt:lpstr>
      <vt:lpstr>SPRINT N° 2</vt:lpstr>
      <vt:lpstr>SPRINT N° 3</vt:lpstr>
      <vt:lpstr>SPRINT N° 4</vt:lpstr>
      <vt:lpstr>SPRINT N° 5</vt:lpstr>
      <vt:lpstr>RIESGOS</vt:lpstr>
      <vt:lpstr>DATOS</vt:lpstr>
      <vt:lpstr>DATOS RIESGOS</vt:lpstr>
      <vt:lpstr>RIESGOS!Área_de_impresión</vt:lpstr>
      <vt:lpstr>'SPRINT 0'!Área_de_impresión</vt:lpstr>
      <vt:lpstr>'SPRINT N° 1'!Área_de_impresión</vt:lpstr>
      <vt:lpstr>'SPRINT N° 2'!Área_de_impresión</vt:lpstr>
      <vt:lpstr>'SPRINT N° 3'!Área_de_impresión</vt:lpstr>
      <vt:lpstr>'SPRINT N° 4'!Área_de_impresión</vt:lpstr>
      <vt:lpstr>'SPRINT N° 5'!Área_de_impresión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Elías Orellana</dc:creator>
  <cp:lastModifiedBy>vcoronado</cp:lastModifiedBy>
  <dcterms:created xsi:type="dcterms:W3CDTF">2016-03-28T12:47:19Z</dcterms:created>
  <dcterms:modified xsi:type="dcterms:W3CDTF">2016-08-24T19:22:45Z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50e8adf8-e879-4b11-b3af-a4765bed275b</vt:lpwstr>
  </property>
</Properties>
</file>